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1cfef2a5419201f/Desktop/VI/"/>
    </mc:Choice>
  </mc:AlternateContent>
  <xr:revisionPtr revIDLastSave="438" documentId="14_{750FE13A-71FD-4971-9F4C-1E1A7D3595CE}" xr6:coauthVersionLast="47" xr6:coauthVersionMax="47" xr10:uidLastSave="{627C286A-54E1-4DFA-8112-B18ED5B41973}"/>
  <bookViews>
    <workbookView xWindow="-110" yWindow="-110" windowWidth="19420" windowHeight="11500" firstSheet="4" activeTab="7" xr2:uid="{00000000-000D-0000-FFFF-FFFF00000000}"/>
  </bookViews>
  <sheets>
    <sheet name="KPI summary" sheetId="3" r:id="rId1"/>
    <sheet name="CATEGORY PROFITABILITY" sheetId="4" r:id="rId2"/>
    <sheet name="PRODUCT PROFITABILITY" sheetId="5" r:id="rId3"/>
    <sheet name="DISCOUNT IMPACT ANALYSIS" sheetId="6" r:id="rId4"/>
    <sheet name="Monthly Trend" sheetId="8" r:id="rId5"/>
    <sheet name="Sales Data" sheetId="1" r:id="rId6"/>
    <sheet name="Business questions" sheetId="2" r:id="rId7"/>
    <sheet name="EXECUTIVE SUMMARY" sheetId="9" r:id="rId8"/>
  </sheets>
  <calcPr calcId="191029"/>
  <pivotCaches>
    <pivotCache cacheId="14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2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</calcChain>
</file>

<file path=xl/sharedStrings.xml><?xml version="1.0" encoding="utf-8"?>
<sst xmlns="http://schemas.openxmlformats.org/spreadsheetml/2006/main" count="961" uniqueCount="191">
  <si>
    <t>Order Date</t>
  </si>
  <si>
    <t>Region</t>
  </si>
  <si>
    <t>Segment</t>
  </si>
  <si>
    <t>Category</t>
  </si>
  <si>
    <t>Product</t>
  </si>
  <si>
    <t>Sales</t>
  </si>
  <si>
    <t>Profit</t>
  </si>
  <si>
    <t>Discount</t>
  </si>
  <si>
    <t>Quantity</t>
  </si>
  <si>
    <t>Margin %</t>
  </si>
  <si>
    <t>2025-03-13</t>
  </si>
  <si>
    <t>2025-04-22</t>
  </si>
  <si>
    <t>2025-05-23</t>
  </si>
  <si>
    <t>2025-06-22</t>
  </si>
  <si>
    <t>2025-01-23</t>
  </si>
  <si>
    <t>2025-11-13</t>
  </si>
  <si>
    <t>2025-02-10</t>
  </si>
  <si>
    <t>2025-07-01</t>
  </si>
  <si>
    <t>2025-03-29</t>
  </si>
  <si>
    <t>2025-01-29</t>
  </si>
  <si>
    <t>2025-10-18</t>
  </si>
  <si>
    <t>2025-10-15</t>
  </si>
  <si>
    <t>2025-03-12</t>
  </si>
  <si>
    <t>2025-08-05</t>
  </si>
  <si>
    <t>2025-01-06</t>
  </si>
  <si>
    <t>2025-08-11</t>
  </si>
  <si>
    <t>2025-04-02</t>
  </si>
  <si>
    <t>2025-03-24</t>
  </si>
  <si>
    <t>2025-06-07</t>
  </si>
  <si>
    <t>2025-02-05</t>
  </si>
  <si>
    <t>2025-04-19</t>
  </si>
  <si>
    <t>2025-09-22</t>
  </si>
  <si>
    <t>2025-04-28</t>
  </si>
  <si>
    <t>2025-01-17</t>
  </si>
  <si>
    <t>2025-10-20</t>
  </si>
  <si>
    <t>2025-06-23</t>
  </si>
  <si>
    <t>2025-10-04</t>
  </si>
  <si>
    <t>2025-01-31</t>
  </si>
  <si>
    <t>2025-10-12</t>
  </si>
  <si>
    <t>2025-10-05</t>
  </si>
  <si>
    <t>2025-03-22</t>
  </si>
  <si>
    <t>2025-05-01</t>
  </si>
  <si>
    <t>2025-08-03</t>
  </si>
  <si>
    <t>2025-03-09</t>
  </si>
  <si>
    <t>2025-02-07</t>
  </si>
  <si>
    <t>2025-07-09</t>
  </si>
  <si>
    <t>2025-09-28</t>
  </si>
  <si>
    <t>2025-03-10</t>
  </si>
  <si>
    <t>2025-04-18</t>
  </si>
  <si>
    <t>2025-08-15</t>
  </si>
  <si>
    <t>2025-05-02</t>
  </si>
  <si>
    <t>2025-07-30</t>
  </si>
  <si>
    <t>2025-04-24</t>
  </si>
  <si>
    <t>2025-12-04</t>
  </si>
  <si>
    <t>2025-09-18</t>
  </si>
  <si>
    <t>2025-05-14</t>
  </si>
  <si>
    <t>2025-08-12</t>
  </si>
  <si>
    <t>2025-10-03</t>
  </si>
  <si>
    <t>2025-12-06</t>
  </si>
  <si>
    <t>2025-10-11</t>
  </si>
  <si>
    <t>2025-06-04</t>
  </si>
  <si>
    <t>2025-06-14</t>
  </si>
  <si>
    <t>2025-03-28</t>
  </si>
  <si>
    <t>2025-11-09</t>
  </si>
  <si>
    <t>2025-12-02</t>
  </si>
  <si>
    <t>2025-03-04</t>
  </si>
  <si>
    <t>2025-11-23</t>
  </si>
  <si>
    <t>2025-05-20</t>
  </si>
  <si>
    <t>2025-03-20</t>
  </si>
  <si>
    <t>2025-08-04</t>
  </si>
  <si>
    <t>2025-06-02</t>
  </si>
  <si>
    <t>2025-03-07</t>
  </si>
  <si>
    <t>2025-03-11</t>
  </si>
  <si>
    <t>2025-06-29</t>
  </si>
  <si>
    <t>2025-04-13</t>
  </si>
  <si>
    <t>2025-03-25</t>
  </si>
  <si>
    <t>2025-07-23</t>
  </si>
  <si>
    <t>2025-11-28</t>
  </si>
  <si>
    <t>2025-08-24</t>
  </si>
  <si>
    <t>2025-02-14</t>
  </si>
  <si>
    <t>2025-06-16</t>
  </si>
  <si>
    <t>2025-11-02</t>
  </si>
  <si>
    <t>2025-07-28</t>
  </si>
  <si>
    <t>2025-05-31</t>
  </si>
  <si>
    <t>2025-09-29</t>
  </si>
  <si>
    <t>2025-03-03</t>
  </si>
  <si>
    <t>2025-09-05</t>
  </si>
  <si>
    <t>2025-06-01</t>
  </si>
  <si>
    <t>2025-01-28</t>
  </si>
  <si>
    <t>2025-05-26</t>
  </si>
  <si>
    <t>2025-09-02</t>
  </si>
  <si>
    <t>2025-10-16</t>
  </si>
  <si>
    <t>2025-04-26</t>
  </si>
  <si>
    <t>2025-10-10</t>
  </si>
  <si>
    <t>2025-05-28</t>
  </si>
  <si>
    <t>2025-11-17</t>
  </si>
  <si>
    <t>2025-03-14</t>
  </si>
  <si>
    <t>2025-08-28</t>
  </si>
  <si>
    <t>2025-08-10</t>
  </si>
  <si>
    <t>2025-12-11</t>
  </si>
  <si>
    <t>2025-10-27</t>
  </si>
  <si>
    <t>2025-08-21</t>
  </si>
  <si>
    <t>2025-01-01</t>
  </si>
  <si>
    <t>2025-01-27</t>
  </si>
  <si>
    <t>2025-01-15</t>
  </si>
  <si>
    <t>2025-02-28</t>
  </si>
  <si>
    <t>2025-11-03</t>
  </si>
  <si>
    <t>2025-10-06</t>
  </si>
  <si>
    <t>2025-04-30</t>
  </si>
  <si>
    <t>2025-11-30</t>
  </si>
  <si>
    <t>2025-08-14</t>
  </si>
  <si>
    <t>2025-02-08</t>
  </si>
  <si>
    <t>2025-12-12</t>
  </si>
  <si>
    <t>2025-12-17</t>
  </si>
  <si>
    <t>2025-12-22</t>
  </si>
  <si>
    <t>2025-08-09</t>
  </si>
  <si>
    <t>2025-12-25</t>
  </si>
  <si>
    <t>2025-09-12</t>
  </si>
  <si>
    <t>2025-12-14</t>
  </si>
  <si>
    <t>2025-01-18</t>
  </si>
  <si>
    <t>2025-03-31</t>
  </si>
  <si>
    <t>2025-05-12</t>
  </si>
  <si>
    <t>2025-03-05</t>
  </si>
  <si>
    <t>2025-08-26</t>
  </si>
  <si>
    <t>2025-09-10</t>
  </si>
  <si>
    <t>2025-12-23</t>
  </si>
  <si>
    <t>2025-05-24</t>
  </si>
  <si>
    <t>2025-02-20</t>
  </si>
  <si>
    <t>2025-06-20</t>
  </si>
  <si>
    <t>2025-09-01</t>
  </si>
  <si>
    <t>2025-12-31</t>
  </si>
  <si>
    <t>2025-11-16</t>
  </si>
  <si>
    <t>2025-12-26</t>
  </si>
  <si>
    <t>2025-07-10</t>
  </si>
  <si>
    <t>2025-09-17</t>
  </si>
  <si>
    <t>2025-07-08</t>
  </si>
  <si>
    <t>2025-11-11</t>
  </si>
  <si>
    <t>2025-11-21</t>
  </si>
  <si>
    <t>2025-01-24</t>
  </si>
  <si>
    <t>2025-12-27</t>
  </si>
  <si>
    <t>2025-01-22</t>
  </si>
  <si>
    <t>2025-11-24</t>
  </si>
  <si>
    <t>2025-10-29</t>
  </si>
  <si>
    <t>2025-11-27</t>
  </si>
  <si>
    <t>2025-10-17</t>
  </si>
  <si>
    <t>2025-05-21</t>
  </si>
  <si>
    <t>2025-05-27</t>
  </si>
  <si>
    <t>2025-02-22</t>
  </si>
  <si>
    <t>2025-08-13</t>
  </si>
  <si>
    <t>2025-07-18</t>
  </si>
  <si>
    <t>2025-02-18</t>
  </si>
  <si>
    <t>East</t>
  </si>
  <si>
    <t>West</t>
  </si>
  <si>
    <t>Central</t>
  </si>
  <si>
    <t>South</t>
  </si>
  <si>
    <t>Home Office</t>
  </si>
  <si>
    <t>Consumer</t>
  </si>
  <si>
    <t>Corporate</t>
  </si>
  <si>
    <t>Office Supplies</t>
  </si>
  <si>
    <t>Technology</t>
  </si>
  <si>
    <t>Furniture</t>
  </si>
  <si>
    <t>Storage Box</t>
  </si>
  <si>
    <t>Laptop</t>
  </si>
  <si>
    <t>Office Chair</t>
  </si>
  <si>
    <t>Table</t>
  </si>
  <si>
    <t>Notebook</t>
  </si>
  <si>
    <t>Printer</t>
  </si>
  <si>
    <t>Sum of Sales</t>
  </si>
  <si>
    <t>Sum of Profit</t>
  </si>
  <si>
    <t>Sum of Quantity</t>
  </si>
  <si>
    <t>Average of Discount</t>
  </si>
  <si>
    <t>Count of Product</t>
  </si>
  <si>
    <t>Average of Margin %</t>
  </si>
  <si>
    <t>Row Labels</t>
  </si>
  <si>
    <t>Grand Total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</si>
  <si>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</si>
  <si>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</si>
  <si>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</si>
  <si>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</si>
  <si>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</si>
  <si>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</si>
  <si>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</si>
  <si>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</si>
  <si>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</si>
  <si>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</si>
  <si>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</si>
  <si>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</si>
  <si>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</si>
  <si>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Discount Band</t>
  </si>
  <si>
    <t>Profit Category</t>
  </si>
  <si>
    <r>
      <rPr>
        <b/>
        <sz val="20"/>
        <color theme="1"/>
        <rFont val="Calibri"/>
        <family val="2"/>
        <scheme val="minor"/>
      </rPr>
      <t>Key Business Observations</t>
    </r>
    <r>
      <rPr>
        <sz val="20"/>
        <color theme="1"/>
        <rFont val="Calibri"/>
        <family val="2"/>
        <scheme val="minor"/>
      </rPr>
      <t xml:space="preserve">                                                                                                                                                                                      1.</t>
    </r>
    <r>
      <rPr>
        <sz val="18"/>
        <color theme="1"/>
        <rFont val="Calibri"/>
        <family val="2"/>
        <scheme val="minor"/>
      </rPr>
      <t xml:space="preserve">Revenue growth remains strong across categories.
2.Profitability performance remains inconsistent.
3.Higher discount levels appear to reduce margin sustainability.
4.Certain products generate high sales with weak profit conversion. 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</si>
</sst>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&quot;₹&quot;\ #,##0.00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0"/>
      <color theme="1"/>
      <name val="Arial Unicode MS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0" applyNumberFormat="1"/>
    <xf numFmtId="164" fontId="0" fillId="0" borderId="0" xfId="0" applyNumberFormat="1"/>
    <xf numFmtId="4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0" fontId="1" fillId="0" borderId="1" xfId="0" applyNumberFormat="1" applyFont="1" applyBorder="1" applyAlignment="1">
      <alignment horizontal="center" vertical="top"/>
    </xf>
    <xf numFmtId="0" fontId="5" fillId="0" borderId="0" xfId="0" applyFont="1"/>
    <xf numFmtId="0" fontId="0" fillId="0" borderId="0" xfId="0" applyNumberFormat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14">
    <dxf>
      <numFmt numFmtId="14" formatCode="0.00%"/>
    </dxf>
    <dxf>
      <numFmt numFmtId="14" formatCode="0.00%"/>
    </dxf>
    <dxf>
      <numFmt numFmtId="164" formatCode="&quot;₹&quot;\ #,##0.00"/>
    </dxf>
    <dxf>
      <numFmt numFmtId="164" formatCode="&quot;₹&quot;\ #,##0.0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2" formatCode="0.00"/>
    </dxf>
    <dxf>
      <numFmt numFmtId="14" formatCode="0.00%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[Retail_Business_Performance_Analysis.xlsx]CATEGORY PROFITABILITY!PivotTable1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CATEGORY PROFITABILITY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numFmt formatCode="0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numFmt formatCode="0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5437579187103102E-2"/>
          <c:y val="0.1718889641502557"/>
          <c:w val="0.6984775866491516"/>
          <c:h val="0.56294175602335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'CATEGORY PROFITABILITY'!$B$3</c:f>
              <c:strCache>
                <c:ptCount val="1"/>
                <c:pt idx="0">
                  <c:v>Sum of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numFmt formatCode="0.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'CATEGORY PROFITABILITY'!$A$4:$A$7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PROFITABILITY'!$B$4:$B$7</c:f>
              <c:numCache>
                <c:formatCode>General</c:formatCode>
                <c:ptCount val="3"/>
                <c:pt idx="0">
                  <c:v>164292.85000000003</c:v>
                </c:pt>
                <c:pt idx="1">
                  <c:v>149882.79999999999</c:v>
                </c:pt>
                <c:pt idx="2">
                  <c:v>132845.96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9C-45D9-A258-190917A25E0D}"/>
            </c:ext>
          </c:extLst>
        </c:ser>
        <c:ser>
          <c:idx val="1"/>
          <c:order val="1"/>
          <c:tx>
            <c:strRef>
              <c:f>'CATEGORY PROFITABILITY'!$C$3</c:f>
              <c:strCache>
                <c:ptCount val="1"/>
                <c:pt idx="0">
                  <c:v>Sum of Profit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numFmt formatCode="0.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'CATEGORY PROFITABILITY'!$A$4:$A$7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PROFITABILITY'!$C$4:$C$7</c:f>
              <c:numCache>
                <c:formatCode>General</c:formatCode>
                <c:ptCount val="3"/>
                <c:pt idx="0">
                  <c:v>14138.29</c:v>
                </c:pt>
                <c:pt idx="1">
                  <c:v>16370.769999999999</c:v>
                </c:pt>
                <c:pt idx="2">
                  <c:v>15367.470000000003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9C-45D9-A258-190917A25E0D}"/>
            </c:ext>
          </c:extLst>
        </c:ser>
        <c:ser>
          <c:idx val="2"/>
          <c:order val="2"/>
          <c:tx>
            <c:strRef>
              <c:f>'CATEGORY PROFITABILITY'!$D$3</c:f>
              <c:strCache>
                <c:ptCount val="1"/>
                <c:pt idx="0">
                  <c:v>Average of Margin %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'CATEGORY PROFITABILITY'!$A$4:$A$7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PROFITABILITY'!$D$4:$D$7</c:f>
              <c:numCache>
                <c:formatCode>General</c:formatCode>
                <c:ptCount val="3"/>
                <c:pt idx="0">
                  <c:v>9.4272065585942103E-2</c:v>
                </c:pt>
                <c:pt idx="1">
                  <c:v>0.10858440163053128</c:v>
                </c:pt>
                <c:pt idx="2">
                  <c:v>0.11566256691994116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9C-45D9-A258-190917A25E0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468032799"/>
        <c:axId val="1468016479"/>
      </c:barChart>
      <c:catAx>
        <c:axId val="14680327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016479"/>
        <c:crosses val="autoZero"/>
        <c:auto val="1"/>
        <c:lblAlgn val="ctr"/>
        <c:lblOffset val="100"/>
        <c:noMultiLvlLbl val="0"/>
      </c:catAx>
      <c:valAx>
        <c:axId val="1468016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032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400008354393365"/>
          <c:y val="0.1055453484981044"/>
          <c:w val="0.24804235677436873"/>
          <c:h val="0.283124453193350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[Retail_Business_Performance_Analysis.xlsx]PRODUCT PROFITABILITY!PivotTable2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 PROFITABILITY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numFmt formatCode="0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numFmt formatCode="0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dLbl>
          <c:idx val="0"/>
          <c:layout>
            <c:manualLayout>
              <c:x val="-2.0366598778004449E-3"/>
              <c:y val="5.0534499514091349E-2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dLbl>
          <c:idx val="0"/>
          <c:layout>
            <c:manualLayout>
              <c:x val="-1.1201629327902239E-2"/>
              <c:y val="6.2196460136360363E-2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dLbl>
          <c:idx val="0"/>
          <c:layout>
            <c:manualLayout>
              <c:x val="-2.8513238289205704E-2"/>
              <c:y val="5.0534499514091349E-2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dLbl>
          <c:idx val="0"/>
          <c:layout>
            <c:manualLayout>
              <c:x val="2.0366598778003325E-3"/>
              <c:y val="5.4421768707482991E-2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dLbl>
          <c:idx val="0"/>
          <c:layout>
            <c:manualLayout>
              <c:x val="-6.1099796334012964E-3"/>
              <c:y val="5.0534499514091211E-2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dLbl>
          <c:idx val="0"/>
          <c:layout>
            <c:manualLayout>
              <c:x val="1.6293279022403257E-2"/>
              <c:y val="5.0534499514091211E-2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dLbl>
          <c:idx val="0"/>
          <c:layout>
            <c:manualLayout>
              <c:x val="2.8513238289205704E-2"/>
              <c:y val="-1.4253155722098183E-16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dLbl>
          <c:idx val="0"/>
          <c:layout>
            <c:manualLayout>
              <c:x val="1.8329938900203593E-2"/>
              <c:y val="-1.4253155722098183E-16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dLbl>
          <c:idx val="0"/>
          <c:layout>
            <c:manualLayout>
              <c:x val="1.0183299389002037E-2"/>
              <c:y val="-1.4253155722098183E-16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dLbl>
          <c:idx val="0"/>
          <c:layout>
            <c:manualLayout>
              <c:x val="1.0183299389002037E-2"/>
              <c:y val="-3.8872691933916424E-2"/>
            </c:manualLayout>
          </c:layout>
          <c:numFmt formatCode="0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dLbl>
          <c:idx val="0"/>
          <c:layout>
            <c:manualLayout>
              <c:x val="2.8513238289205704E-2"/>
              <c:y val="-1.9436345966958354E-2"/>
            </c:manualLayout>
          </c:layout>
          <c:numFmt formatCode="0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dLbl>
          <c:idx val="0"/>
          <c:layout>
            <c:manualLayout>
              <c:x val="1.2219959266802444E-2"/>
              <c:y val="-2.3323615160349854E-2"/>
            </c:manualLayout>
          </c:layout>
          <c:numFmt formatCode="0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dLbl>
          <c:idx val="0"/>
          <c:layout>
            <c:manualLayout>
              <c:x val="1.8329938900203666E-2"/>
              <c:y val="-2.3323615160349996E-2"/>
            </c:manualLayout>
          </c:layout>
          <c:numFmt formatCode="0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dLbl>
          <c:idx val="0"/>
          <c:layout>
            <c:manualLayout>
              <c:x val="2.2403258655804479E-2"/>
              <c:y val="-5.4421768707482991E-2"/>
            </c:manualLayout>
          </c:layout>
          <c:numFmt formatCode="0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dLbl>
          <c:idx val="0"/>
          <c:layout>
            <c:manualLayout>
              <c:x val="1.4256619144602852E-2"/>
              <c:y val="-5.8309037900874779E-2"/>
            </c:manualLayout>
          </c:layout>
          <c:numFmt formatCode="0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  <c:pivotFmt>
        <c:idx val="2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  <c:pivotFmt>
        <c:idx val="2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  <c:pivotFmt>
        <c:idx val="2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PROFITABILITY'!$B$3</c:f>
              <c:strCache>
                <c:ptCount val="1"/>
                <c:pt idx="0">
                  <c:v>Sum of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numFmt formatCode="0.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'PRODUCT PROFITABILITY'!$A$4:$A$10</c:f>
              <c:strCache>
                <c:ptCount val="6"/>
                <c:pt idx="0">
                  <c:v>Laptop</c:v>
                </c:pt>
                <c:pt idx="1">
                  <c:v>Notebook</c:v>
                </c:pt>
                <c:pt idx="2">
                  <c:v>Office Chair</c:v>
                </c:pt>
                <c:pt idx="3">
                  <c:v>Printer</c:v>
                </c:pt>
                <c:pt idx="4">
                  <c:v>Storage Box</c:v>
                </c:pt>
                <c:pt idx="5">
                  <c:v>Table</c:v>
                </c:pt>
              </c:strCache>
            </c:strRef>
          </c:cat>
          <c:val>
            <c:numRef>
              <c:f>'PRODUCT PROFITABILITY'!$B$4:$B$10</c:f>
              <c:numCache>
                <c:formatCode>General</c:formatCode>
                <c:ptCount val="6"/>
                <c:pt idx="0">
                  <c:v>71249.34</c:v>
                </c:pt>
                <c:pt idx="1">
                  <c:v>64860.47</c:v>
                </c:pt>
                <c:pt idx="2">
                  <c:v>97102.589999999982</c:v>
                </c:pt>
                <c:pt idx="3">
                  <c:v>61596.62000000001</c:v>
                </c:pt>
                <c:pt idx="4">
                  <c:v>85022.330000000016</c:v>
                </c:pt>
                <c:pt idx="5">
                  <c:v>67190.259999999995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A3-47C6-B662-D56A81367F64}"/>
            </c:ext>
          </c:extLst>
        </c:ser>
        <c:ser>
          <c:idx val="1"/>
          <c:order val="1"/>
          <c:tx>
            <c:strRef>
              <c:f>'PRODUCT PROFITABILITY'!$C$3</c:f>
              <c:strCache>
                <c:ptCount val="1"/>
                <c:pt idx="0">
                  <c:v>Sum of Profit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9DA3-47C6-B662-D56A81367F64}"/>
              </c:ext>
            </c:extLst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9DA3-47C6-B662-D56A81367F64}"/>
              </c:ext>
            </c:extLst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9DA3-47C6-B662-D56A81367F64}"/>
              </c:ext>
            </c:extLst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9DA3-47C6-B662-D56A81367F64}"/>
              </c:ext>
            </c:extLst>
          </c:dPt>
          <c:dPt>
            <c:idx val="4"/>
            <c:invertIfNegative val="0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9DA3-47C6-B662-D56A81367F64}"/>
              </c:ext>
            </c:extLst>
          </c:dPt>
          <c:dPt>
            <c:idx val="5"/>
            <c:invertIfNegative val="0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9DA3-47C6-B662-D56A81367F64}"/>
              </c:ext>
            </c:extLst>
          </c:dPt>
          <c:dLbls>
            <c:dLbl>
              <c:idx val="0"/>
              <c:layout>
                <c:manualLayout>
                  <c:x val="1.4256619144602852E-2"/>
                  <c:y val="-5.830903790087477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9DA3-47C6-B662-D56A81367F64}"/>
                </c:ext>
              </c:extLst>
            </c:dLbl>
            <c:dLbl>
              <c:idx val="1"/>
              <c:layout>
                <c:manualLayout>
                  <c:x val="2.2403258655804479E-2"/>
                  <c:y val="-5.442176870748299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9DA3-47C6-B662-D56A81367F64}"/>
                </c:ext>
              </c:extLst>
            </c:dLbl>
            <c:dLbl>
              <c:idx val="2"/>
              <c:layout>
                <c:manualLayout>
                  <c:x val="1.8329938900203666E-2"/>
                  <c:y val="-2.332361516034999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9DA3-47C6-B662-D56A81367F64}"/>
                </c:ext>
              </c:extLst>
            </c:dLbl>
            <c:dLbl>
              <c:idx val="3"/>
              <c:layout>
                <c:manualLayout>
                  <c:x val="1.2219959266802444E-2"/>
                  <c:y val="-2.332361516034985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9DA3-47C6-B662-D56A81367F64}"/>
                </c:ext>
              </c:extLst>
            </c:dLbl>
            <c:dLbl>
              <c:idx val="4"/>
              <c:layout>
                <c:manualLayout>
                  <c:x val="2.8513238289205704E-2"/>
                  <c:y val="-1.943634596695835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9DA3-47C6-B662-D56A81367F64}"/>
                </c:ext>
              </c:extLst>
            </c:dLbl>
            <c:dLbl>
              <c:idx val="5"/>
              <c:layout>
                <c:manualLayout>
                  <c:x val="1.0183299389002037E-2"/>
                  <c:y val="-3.887269193391642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DA3-47C6-B662-D56A81367F64}"/>
                </c:ext>
              </c:extLst>
            </c:dLbl>
            <c:numFmt formatCode="0.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'PRODUCT PROFITABILITY'!$A$4:$A$10</c:f>
              <c:strCache>
                <c:ptCount val="6"/>
                <c:pt idx="0">
                  <c:v>Laptop</c:v>
                </c:pt>
                <c:pt idx="1">
                  <c:v>Notebook</c:v>
                </c:pt>
                <c:pt idx="2">
                  <c:v>Office Chair</c:v>
                </c:pt>
                <c:pt idx="3">
                  <c:v>Printer</c:v>
                </c:pt>
                <c:pt idx="4">
                  <c:v>Storage Box</c:v>
                </c:pt>
                <c:pt idx="5">
                  <c:v>Table</c:v>
                </c:pt>
              </c:strCache>
            </c:strRef>
          </c:cat>
          <c:val>
            <c:numRef>
              <c:f>'PRODUCT PROFITABILITY'!$C$4:$C$10</c:f>
              <c:numCache>
                <c:formatCode>General</c:formatCode>
                <c:ptCount val="6"/>
                <c:pt idx="0">
                  <c:v>7601</c:v>
                </c:pt>
                <c:pt idx="1">
                  <c:v>7227.6</c:v>
                </c:pt>
                <c:pt idx="2">
                  <c:v>9796.369999999999</c:v>
                </c:pt>
                <c:pt idx="3">
                  <c:v>7766.4699999999993</c:v>
                </c:pt>
                <c:pt idx="4">
                  <c:v>9143.17</c:v>
                </c:pt>
                <c:pt idx="5">
                  <c:v>4341.9199999999992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A3-47C6-B662-D56A81367F64}"/>
            </c:ext>
          </c:extLst>
        </c:ser>
        <c:ser>
          <c:idx val="2"/>
          <c:order val="2"/>
          <c:tx>
            <c:strRef>
              <c:f>'PRODUCT PROFITABILITY'!$D$3</c:f>
              <c:strCache>
                <c:ptCount val="1"/>
                <c:pt idx="0">
                  <c:v>Average of Discount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9DA3-47C6-B662-D56A81367F64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C-9DA3-47C6-B662-D56A81367F64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9DA3-47C6-B662-D56A81367F64}"/>
              </c:ext>
            </c:extLst>
          </c:dPt>
          <c:dLbls>
            <c:dLbl>
              <c:idx val="3"/>
              <c:layout>
                <c:manualLayout>
                  <c:x val="2.8513238289205704E-2"/>
                  <c:y val="-1.4253155722098183E-1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DA3-47C6-B662-D56A81367F64}"/>
                </c:ext>
              </c:extLst>
            </c:dLbl>
            <c:dLbl>
              <c:idx val="4"/>
              <c:layout>
                <c:manualLayout>
                  <c:x val="1.8329938900203593E-2"/>
                  <c:y val="-1.4253155722098183E-1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DA3-47C6-B662-D56A81367F64}"/>
                </c:ext>
              </c:extLst>
            </c:dLbl>
            <c:dLbl>
              <c:idx val="5"/>
              <c:layout>
                <c:manualLayout>
                  <c:x val="1.0183299389002037E-2"/>
                  <c:y val="-1.4253155722098183E-1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DA3-47C6-B662-D56A81367F64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'PRODUCT PROFITABILITY'!$A$4:$A$10</c:f>
              <c:strCache>
                <c:ptCount val="6"/>
                <c:pt idx="0">
                  <c:v>Laptop</c:v>
                </c:pt>
                <c:pt idx="1">
                  <c:v>Notebook</c:v>
                </c:pt>
                <c:pt idx="2">
                  <c:v>Office Chair</c:v>
                </c:pt>
                <c:pt idx="3">
                  <c:v>Printer</c:v>
                </c:pt>
                <c:pt idx="4">
                  <c:v>Storage Box</c:v>
                </c:pt>
                <c:pt idx="5">
                  <c:v>Table</c:v>
                </c:pt>
              </c:strCache>
            </c:strRef>
          </c:cat>
          <c:val>
            <c:numRef>
              <c:f>'PRODUCT PROFITABILITY'!$D$4:$D$10</c:f>
              <c:numCache>
                <c:formatCode>0.00%</c:formatCode>
                <c:ptCount val="6"/>
                <c:pt idx="0">
                  <c:v>0.10147058823529412</c:v>
                </c:pt>
                <c:pt idx="1">
                  <c:v>9.4230769230769243E-2</c:v>
                </c:pt>
                <c:pt idx="2">
                  <c:v>0.10555555555555557</c:v>
                </c:pt>
                <c:pt idx="3">
                  <c:v>9.9999999999999992E-2</c:v>
                </c:pt>
                <c:pt idx="4">
                  <c:v>8.9062499999999989E-2</c:v>
                </c:pt>
                <c:pt idx="5">
                  <c:v>0.11730769230769231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A3-47C6-B662-D56A81367F64}"/>
            </c:ext>
          </c:extLst>
        </c:ser>
        <c:ser>
          <c:idx val="3"/>
          <c:order val="3"/>
          <c:tx>
            <c:strRef>
              <c:f>'PRODUCT PROFITABILITY'!$E$3</c:f>
              <c:strCache>
                <c:ptCount val="1"/>
                <c:pt idx="0">
                  <c:v>Average of Margin %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9DA3-47C6-B662-D56A81367F64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9DA3-47C6-B662-D56A81367F64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9DA3-47C6-B662-D56A81367F64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9DA3-47C6-B662-D56A81367F64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9DA3-47C6-B662-D56A81367F64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A-9DA3-47C6-B662-D56A81367F64}"/>
              </c:ext>
            </c:extLst>
          </c:dPt>
          <c:dLbls>
            <c:dLbl>
              <c:idx val="0"/>
              <c:layout>
                <c:manualLayout>
                  <c:x val="-1.1201629327902239E-2"/>
                  <c:y val="6.219646013636036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DA3-47C6-B662-D56A81367F64}"/>
                </c:ext>
              </c:extLst>
            </c:dLbl>
            <c:dLbl>
              <c:idx val="1"/>
              <c:layout>
                <c:manualLayout>
                  <c:x val="-2.0366598778004449E-3"/>
                  <c:y val="5.053449951409134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DA3-47C6-B662-D56A81367F64}"/>
                </c:ext>
              </c:extLst>
            </c:dLbl>
            <c:dLbl>
              <c:idx val="2"/>
              <c:layout>
                <c:manualLayout>
                  <c:x val="-2.8513238289205704E-2"/>
                  <c:y val="5.053449951409134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DA3-47C6-B662-D56A81367F64}"/>
                </c:ext>
              </c:extLst>
            </c:dLbl>
            <c:dLbl>
              <c:idx val="3"/>
              <c:layout>
                <c:manualLayout>
                  <c:x val="2.0366598778003325E-3"/>
                  <c:y val="5.442176870748299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DA3-47C6-B662-D56A81367F64}"/>
                </c:ext>
              </c:extLst>
            </c:dLbl>
            <c:dLbl>
              <c:idx val="4"/>
              <c:layout>
                <c:manualLayout>
                  <c:x val="-6.1099796334012964E-3"/>
                  <c:y val="5.053449951409121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DA3-47C6-B662-D56A81367F64}"/>
                </c:ext>
              </c:extLst>
            </c:dLbl>
            <c:dLbl>
              <c:idx val="5"/>
              <c:layout>
                <c:manualLayout>
                  <c:x val="1.6293279022403257E-2"/>
                  <c:y val="5.053449951409121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DA3-47C6-B662-D56A81367F64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'PRODUCT PROFITABILITY'!$A$4:$A$10</c:f>
              <c:strCache>
                <c:ptCount val="6"/>
                <c:pt idx="0">
                  <c:v>Laptop</c:v>
                </c:pt>
                <c:pt idx="1">
                  <c:v>Notebook</c:v>
                </c:pt>
                <c:pt idx="2">
                  <c:v>Office Chair</c:v>
                </c:pt>
                <c:pt idx="3">
                  <c:v>Printer</c:v>
                </c:pt>
                <c:pt idx="4">
                  <c:v>Storage Box</c:v>
                </c:pt>
                <c:pt idx="5">
                  <c:v>Table</c:v>
                </c:pt>
              </c:strCache>
            </c:strRef>
          </c:cat>
          <c:val>
            <c:numRef>
              <c:f>'PRODUCT PROFITABILITY'!$E$4:$E$10</c:f>
              <c:numCache>
                <c:formatCode>0.00</c:formatCode>
                <c:ptCount val="6"/>
                <c:pt idx="0">
                  <c:v>0.11484466444219672</c:v>
                </c:pt>
                <c:pt idx="1">
                  <c:v>0.10933049514580187</c:v>
                </c:pt>
                <c:pt idx="2">
                  <c:v>0.10313468888002815</c:v>
                </c:pt>
                <c:pt idx="3">
                  <c:v>0.11673213169853007</c:v>
                </c:pt>
                <c:pt idx="4">
                  <c:v>0.1079782006493739</c:v>
                </c:pt>
                <c:pt idx="5">
                  <c:v>8.2000741024899931E-2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DA3-47C6-B662-D56A81367F6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612125967"/>
        <c:axId val="1612126447"/>
      </c:barChart>
      <c:catAx>
        <c:axId val="1612125967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2126447"/>
        <c:crosses val="autoZero"/>
        <c:auto val="1"/>
        <c:lblAlgn val="ctr"/>
        <c:lblOffset val="100"/>
        <c:noMultiLvlLbl val="0"/>
      </c:catAx>
      <c:valAx>
        <c:axId val="1612126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2125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[Retail_Business_Performance_Analysis.xlsx]DISCOUNT IMPACT ANALYSIS!PivotTable3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ysClr val="windowText" lastClr="000000"/>
                </a:solidFill>
              </a:rPr>
              <a:t>DISCOUNT IMPACT ANALYSIS</a:t>
            </a:r>
            <a:endParaRPr lang="en-IN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0\ 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958092738407699"/>
          <c:y val="0.13323855351414407"/>
          <c:w val="0.58844138232720911"/>
          <c:h val="0.658530912802566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'DISCOUNT IMPACT ANALYSIS'!$B$3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.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'DISCOUNT IMPACT ANALYSIS'!$A$4:$A$9</c:f>
              <c:strCache>
                <c:ptCount val="5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</c:strCache>
            </c:strRef>
          </c:cat>
          <c:val>
            <c:numRef>
              <c:f>'DISCOUNT IMPACT ANALYSIS'!$B$4:$B$9</c:f>
              <c:numCache>
                <c:formatCode>General</c:formatCode>
                <c:ptCount val="5"/>
                <c:pt idx="0">
                  <c:v>14148.150000000001</c:v>
                </c:pt>
                <c:pt idx="1">
                  <c:v>8759.1</c:v>
                </c:pt>
                <c:pt idx="2">
                  <c:v>14695.879999999994</c:v>
                </c:pt>
                <c:pt idx="3">
                  <c:v>4224.1899999999987</c:v>
                </c:pt>
                <c:pt idx="4">
                  <c:v>4049.2100000000005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95-4D03-909C-110FE33A4967}"/>
            </c:ext>
          </c:extLst>
        </c:ser>
        <c:ser>
          <c:idx val="1"/>
          <c:order val="1"/>
          <c:tx>
            <c:strRef>
              <c:f>'DISCOUNT IMPACT ANALYSIS'!$C$3</c:f>
              <c:strCache>
                <c:ptCount val="1"/>
                <c:pt idx="0">
                  <c:v>Average of Margin 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0.00\ 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'DISCOUNT IMPACT ANALYSIS'!$A$4:$A$9</c:f>
              <c:strCache>
                <c:ptCount val="5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</c:strCache>
            </c:strRef>
          </c:cat>
          <c:val>
            <c:numRef>
              <c:f>'DISCOUNT IMPACT ANALYSIS'!$C$4:$C$9</c:f>
              <c:numCache>
                <c:formatCode>General</c:formatCode>
                <c:ptCount val="5"/>
                <c:pt idx="0">
                  <c:v>0.1523709929808123</c:v>
                </c:pt>
                <c:pt idx="1">
                  <c:v>0.15283893183396718</c:v>
                </c:pt>
                <c:pt idx="2">
                  <c:v>0.15100290966006666</c:v>
                </c:pt>
                <c:pt idx="3">
                  <c:v>3.5704859859204116E-2</c:v>
                </c:pt>
                <c:pt idx="4">
                  <c:v>5.7528978726706086E-2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95-4D03-909C-110FE33A496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32132591"/>
        <c:axId val="1632134031"/>
      </c:barChart>
      <c:catAx>
        <c:axId val="1632132591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2134031"/>
        <c:crosses val="autoZero"/>
        <c:auto val="1"/>
        <c:lblAlgn val="ctr"/>
        <c:lblOffset val="100"/>
        <c:noMultiLvlLbl val="0"/>
      </c:catAx>
      <c:valAx>
        <c:axId val="1632134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2132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246675415573051"/>
          <c:y val="0.14770888013998248"/>
          <c:w val="0.2097554680664917"/>
          <c:h val="0.390184091571886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[Retail_Business_Performance_Analysis.xlsx]Monthly Trend!PivotTable2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ysClr val="windowText" lastClr="000000"/>
                </a:solidFill>
              </a:rPr>
              <a:t>Monthly</a:t>
            </a:r>
            <a:r>
              <a:rPr lang="en-IN" b="1" baseline="0">
                <a:solidFill>
                  <a:sysClr val="windowText" lastClr="000000"/>
                </a:solidFill>
              </a:rPr>
              <a:t> Trend</a:t>
            </a:r>
            <a:endParaRPr lang="en-IN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4.2988741044012284E-2"/>
              <c:y val="0"/>
            </c:manualLayout>
          </c:layout>
          <c:numFmt formatCode="0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3.7529419749332221E-17"/>
              <c:y val="6.0185185185185182E-2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0470829068577278E-3"/>
              <c:y val="5.0925925925925923E-2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4.0941658137154556E-3"/>
              <c:y val="6.0185185185185182E-2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6.4814814814814811E-2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4.0941658137154556E-3"/>
              <c:y val="4.1666666666666664E-2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5.5555555555555552E-2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2.7777777777777863E-2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8.1883316274309111E-3"/>
              <c:y val="4.6296296296296294E-2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3.2753326509723568E-2"/>
              <c:y val="4.6296296296296127E-2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4329580348004094E-2"/>
              <c:y val="6.0185185185185182E-2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2.0470829068577279E-2"/>
              <c:y val="4.1666666666666664E-2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291426071741033"/>
          <c:y val="0.15638670166229221"/>
          <c:w val="0.62695538057742783"/>
          <c:h val="0.658530912802566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'Monthly Trend'!$B$1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BFF-4ADA-8790-FAE26B2D12A6}"/>
              </c:ext>
            </c:extLst>
          </c:dPt>
          <c:dLbls>
            <c:dLbl>
              <c:idx val="0"/>
              <c:layout>
                <c:manualLayout>
                  <c:x val="-4.2988741044012284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BFF-4ADA-8790-FAE26B2D12A6}"/>
                </c:ext>
              </c:extLst>
            </c:dLbl>
            <c:numFmt formatCode="0.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'Monthly Trend'!$A$2:$A$14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Trend'!$B$2:$B$14</c:f>
              <c:numCache>
                <c:formatCode>General</c:formatCode>
                <c:ptCount val="12"/>
                <c:pt idx="0">
                  <c:v>2827.74</c:v>
                </c:pt>
                <c:pt idx="1">
                  <c:v>3147.63</c:v>
                </c:pt>
                <c:pt idx="2">
                  <c:v>5594.54</c:v>
                </c:pt>
                <c:pt idx="3">
                  <c:v>3689.8300000000004</c:v>
                </c:pt>
                <c:pt idx="4">
                  <c:v>5686.93</c:v>
                </c:pt>
                <c:pt idx="5">
                  <c:v>3931.3300000000004</c:v>
                </c:pt>
                <c:pt idx="6">
                  <c:v>3866.67</c:v>
                </c:pt>
                <c:pt idx="7">
                  <c:v>4108.3399999999992</c:v>
                </c:pt>
                <c:pt idx="8">
                  <c:v>2789.9</c:v>
                </c:pt>
                <c:pt idx="9">
                  <c:v>2485.5200000000004</c:v>
                </c:pt>
                <c:pt idx="10">
                  <c:v>3767.75</c:v>
                </c:pt>
                <c:pt idx="11">
                  <c:v>3980.35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FF-4ADA-8790-FAE26B2D12A6}"/>
            </c:ext>
          </c:extLst>
        </c:ser>
        <c:ser>
          <c:idx val="1"/>
          <c:order val="1"/>
          <c:tx>
            <c:strRef>
              <c:f>'Monthly Trend'!$C$1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0.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'Monthly Trend'!$A$2:$A$14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Trend'!$C$2:$C$14</c:f>
              <c:numCache>
                <c:formatCode>General</c:formatCode>
                <c:ptCount val="12"/>
                <c:pt idx="0">
                  <c:v>35421.57</c:v>
                </c:pt>
                <c:pt idx="1">
                  <c:v>30020.769999999997</c:v>
                </c:pt>
                <c:pt idx="2">
                  <c:v>49122.780000000006</c:v>
                </c:pt>
                <c:pt idx="3">
                  <c:v>27313.01</c:v>
                </c:pt>
                <c:pt idx="4">
                  <c:v>54606.16</c:v>
                </c:pt>
                <c:pt idx="5">
                  <c:v>40268.050000000003</c:v>
                </c:pt>
                <c:pt idx="6">
                  <c:v>29346.110000000008</c:v>
                </c:pt>
                <c:pt idx="7">
                  <c:v>42197.369999999995</c:v>
                </c:pt>
                <c:pt idx="8">
                  <c:v>24264.78</c:v>
                </c:pt>
                <c:pt idx="9">
                  <c:v>35730.28</c:v>
                </c:pt>
                <c:pt idx="10">
                  <c:v>45863.579999999994</c:v>
                </c:pt>
                <c:pt idx="11">
                  <c:v>32867.150000000009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FF-4ADA-8790-FAE26B2D12A6}"/>
            </c:ext>
          </c:extLst>
        </c:ser>
        <c:ser>
          <c:idx val="2"/>
          <c:order val="2"/>
          <c:tx>
            <c:strRef>
              <c:f>'Monthly Trend'!$D$1</c:f>
              <c:strCache>
                <c:ptCount val="1"/>
                <c:pt idx="0">
                  <c:v>Average of Margin 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1BFF-4ADA-8790-FAE26B2D12A6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1BFF-4ADA-8790-FAE26B2D12A6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1BFF-4ADA-8790-FAE26B2D12A6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1BFF-4ADA-8790-FAE26B2D12A6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1BFF-4ADA-8790-FAE26B2D12A6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A-1BFF-4ADA-8790-FAE26B2D12A6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1BFF-4ADA-8790-FAE26B2D12A6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C-1BFF-4ADA-8790-FAE26B2D12A6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1BFF-4ADA-8790-FAE26B2D12A6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E-1BFF-4ADA-8790-FAE26B2D12A6}"/>
              </c:ext>
            </c:extLst>
          </c:dPt>
          <c:dPt>
            <c:idx val="1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F-1BFF-4ADA-8790-FAE26B2D12A6}"/>
              </c:ext>
            </c:extLst>
          </c:dPt>
          <c:dLbls>
            <c:dLbl>
              <c:idx val="0"/>
              <c:layout>
                <c:manualLayout>
                  <c:x val="-2.0470829068577278E-3"/>
                  <c:y val="5.092592592592592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BFF-4ADA-8790-FAE26B2D12A6}"/>
                </c:ext>
              </c:extLst>
            </c:dLbl>
            <c:dLbl>
              <c:idx val="1"/>
              <c:layout>
                <c:manualLayout>
                  <c:x val="-3.7529419749332221E-17"/>
                  <c:y val="6.018518518518518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BFF-4ADA-8790-FAE26B2D12A6}"/>
                </c:ext>
              </c:extLst>
            </c:dLbl>
            <c:dLbl>
              <c:idx val="2"/>
              <c:layout>
                <c:manualLayout>
                  <c:x val="4.0941658137154556E-3"/>
                  <c:y val="6.018518518518518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BFF-4ADA-8790-FAE26B2D12A6}"/>
                </c:ext>
              </c:extLst>
            </c:dLbl>
            <c:dLbl>
              <c:idx val="3"/>
              <c:layout>
                <c:manualLayout>
                  <c:x val="0"/>
                  <c:y val="6.481481481481481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BFF-4ADA-8790-FAE26B2D12A6}"/>
                </c:ext>
              </c:extLst>
            </c:dLbl>
            <c:dLbl>
              <c:idx val="4"/>
              <c:layout>
                <c:manualLayout>
                  <c:x val="4.0941658137154556E-3"/>
                  <c:y val="4.166666666666666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BFF-4ADA-8790-FAE26B2D12A6}"/>
                </c:ext>
              </c:extLst>
            </c:dLbl>
            <c:dLbl>
              <c:idx val="5"/>
              <c:layout>
                <c:manualLayout>
                  <c:x val="0"/>
                  <c:y val="5.555555555555555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BFF-4ADA-8790-FAE26B2D12A6}"/>
                </c:ext>
              </c:extLst>
            </c:dLbl>
            <c:dLbl>
              <c:idx val="6"/>
              <c:layout>
                <c:manualLayout>
                  <c:x val="0"/>
                  <c:y val="2.777777777777786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BFF-4ADA-8790-FAE26B2D12A6}"/>
                </c:ext>
              </c:extLst>
            </c:dLbl>
            <c:dLbl>
              <c:idx val="7"/>
              <c:layout>
                <c:manualLayout>
                  <c:x val="8.1883316274309111E-3"/>
                  <c:y val="4.629629629629629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1BFF-4ADA-8790-FAE26B2D12A6}"/>
                </c:ext>
              </c:extLst>
            </c:dLbl>
            <c:dLbl>
              <c:idx val="8"/>
              <c:layout>
                <c:manualLayout>
                  <c:x val="3.2753326509723568E-2"/>
                  <c:y val="4.629629629629612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1BFF-4ADA-8790-FAE26B2D12A6}"/>
                </c:ext>
              </c:extLst>
            </c:dLbl>
            <c:dLbl>
              <c:idx val="10"/>
              <c:layout>
                <c:manualLayout>
                  <c:x val="-1.4329580348004094E-2"/>
                  <c:y val="6.018518518518518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1BFF-4ADA-8790-FAE26B2D12A6}"/>
                </c:ext>
              </c:extLst>
            </c:dLbl>
            <c:dLbl>
              <c:idx val="11"/>
              <c:layout>
                <c:manualLayout>
                  <c:x val="2.0470829068577279E-2"/>
                  <c:y val="4.166666666666666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1BFF-4ADA-8790-FAE26B2D12A6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'Monthly Trend'!$A$2:$A$14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Trend'!$D$2:$D$14</c:f>
              <c:numCache>
                <c:formatCode>General</c:formatCode>
                <c:ptCount val="12"/>
                <c:pt idx="0">
                  <c:v>7.5070030286028072E-2</c:v>
                </c:pt>
                <c:pt idx="1">
                  <c:v>0.11174170283616441</c:v>
                </c:pt>
                <c:pt idx="2">
                  <c:v>0.10512103581505489</c:v>
                </c:pt>
                <c:pt idx="3">
                  <c:v>0.13835311541204126</c:v>
                </c:pt>
                <c:pt idx="4">
                  <c:v>9.7308144032719326E-2</c:v>
                </c:pt>
                <c:pt idx="5">
                  <c:v>0.11598204152384016</c:v>
                </c:pt>
                <c:pt idx="6">
                  <c:v>0.15445340032979782</c:v>
                </c:pt>
                <c:pt idx="7">
                  <c:v>9.9677941636926615E-2</c:v>
                </c:pt>
                <c:pt idx="8">
                  <c:v>0.11517075288692917</c:v>
                </c:pt>
                <c:pt idx="9">
                  <c:v>8.1764248684946181E-2</c:v>
                </c:pt>
                <c:pt idx="10">
                  <c:v>0.10027663665622194</c:v>
                </c:pt>
                <c:pt idx="11">
                  <c:v>9.6448429546799788E-2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FF-4ADA-8790-FAE26B2D12A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85626783"/>
        <c:axId val="948865487"/>
      </c:barChart>
      <c:catAx>
        <c:axId val="1085626783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865487"/>
        <c:crosses val="autoZero"/>
        <c:auto val="1"/>
        <c:lblAlgn val="ctr"/>
        <c:lblOffset val="100"/>
        <c:noMultiLvlLbl val="0"/>
      </c:catAx>
      <c:valAx>
        <c:axId val="948865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626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431800</xdr:colOff>
      <xdr:row>0</xdr:row>
      <xdr:rowOff>15875</xdr:rowOff>
    </xdr:from>
    <xdr:to>
      <xdr:col>15</xdr:col>
      <xdr:colOff>158750</xdr:colOff>
      <xdr:row>13</xdr:row>
      <xdr:rowOff>25401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517A54-B6DB-F9BA-F471-C5A75E0139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19050</xdr:colOff>
      <xdr:row>11</xdr:row>
      <xdr:rowOff>19050</xdr:rowOff>
    </xdr:from>
    <xdr:ext cx="3733801" cy="151130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FD830E0-3616-D42C-7795-C4FBBC229C8E}"/>
            </a:ext>
          </a:extLst>
        </xdr:cNvPr>
        <xdr:cNvSpPr txBox="1"/>
      </xdr:nvSpPr>
      <xdr:spPr>
        <a:xfrm>
          <a:off x="19050" y="2044700"/>
          <a:ext cx="3733801" cy="15113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IN" sz="1400" b="1"/>
            <a:t>Business Insight</a:t>
          </a:r>
          <a:r>
            <a:rPr lang="en-IN" sz="1400" b="1" baseline="0"/>
            <a:t> </a:t>
          </a:r>
          <a:r>
            <a:rPr lang="en-IN" baseline="0"/>
            <a:t>:</a:t>
          </a:r>
          <a:r>
            <a:rPr lang="en-IN" sz="1200"/>
            <a:t>Furniture generates strong revenue</a:t>
          </a:r>
        </a:p>
        <a:p>
          <a:r>
            <a:rPr lang="en-IN" sz="1200"/>
            <a:t> but weaker profitability</a:t>
          </a:r>
          <a:r>
            <a:rPr lang="en-IN" sz="1200" baseline="0"/>
            <a:t> </a:t>
          </a:r>
          <a:r>
            <a:rPr lang="en-IN" sz="1200"/>
            <a:t>margins.</a:t>
          </a:r>
        </a:p>
        <a:p>
          <a:r>
            <a:rPr lang="en-IN" sz="1400" b="1"/>
            <a:t>Business Risk </a:t>
          </a:r>
          <a:r>
            <a:rPr lang="en-IN" sz="1100"/>
            <a:t>: </a:t>
          </a:r>
          <a:r>
            <a:rPr lang="en-IN" sz="1200"/>
            <a:t>Weak profit conversion may reduce</a:t>
          </a:r>
        </a:p>
        <a:p>
          <a:r>
            <a:rPr lang="en-IN" sz="1200"/>
            <a:t> profitability sustainability.</a:t>
          </a:r>
        </a:p>
        <a:p>
          <a:r>
            <a:rPr lang="en-IN" sz="1400" b="1"/>
            <a:t>Recomendation </a:t>
          </a:r>
          <a:r>
            <a:rPr lang="en-IN" sz="1200"/>
            <a:t>: Review pricing and discount strategy</a:t>
          </a:r>
        </a:p>
        <a:p>
          <a:r>
            <a:rPr lang="en-IN" sz="1200"/>
            <a:t> for low-margin categories.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50800</xdr:colOff>
      <xdr:row>2</xdr:row>
      <xdr:rowOff>9524</xdr:rowOff>
    </xdr:from>
    <xdr:to>
      <xdr:col>15</xdr:col>
      <xdr:colOff>190500</xdr:colOff>
      <xdr:row>19</xdr:row>
      <xdr:rowOff>146049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B47F61-F79E-95A5-91E9-EF32F3FBE8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6350</xdr:colOff>
      <xdr:row>12</xdr:row>
      <xdr:rowOff>6350</xdr:rowOff>
    </xdr:from>
    <xdr:to>
      <xdr:col>5</xdr:col>
      <xdr:colOff>6350</xdr:colOff>
      <xdr:row>21</xdr:row>
      <xdr:rowOff>177800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332BB0E-388B-5BF1-3513-08C6C0A175C5}"/>
            </a:ext>
          </a:extLst>
        </xdr:cNvPr>
        <xdr:cNvSpPr txBox="1"/>
      </xdr:nvSpPr>
      <xdr:spPr>
        <a:xfrm>
          <a:off x="6350" y="2222500"/>
          <a:ext cx="4984750" cy="1828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/>
            <a:t>Key Insight</a:t>
          </a:r>
          <a:r>
            <a:rPr lang="en-IN" sz="1400" b="1" baseline="0"/>
            <a:t> </a:t>
          </a:r>
          <a:r>
            <a:rPr lang="en-IN" b="0" baseline="0"/>
            <a:t>:</a:t>
          </a:r>
          <a:r>
            <a:rPr lang="en-IN" sz="1200"/>
            <a:t>Certain products maintain strong sales and profit despite moderate discounting.</a:t>
          </a:r>
        </a:p>
        <a:p>
          <a:r>
            <a:rPr lang="en-IN" sz="1400" b="1"/>
            <a:t>Business Risk</a:t>
          </a:r>
          <a:r>
            <a:rPr lang="en-IN" sz="1400" b="0" baseline="0"/>
            <a:t> </a:t>
          </a:r>
          <a:r>
            <a:rPr lang="en-IN" sz="1200" b="0" baseline="0"/>
            <a:t>:</a:t>
          </a:r>
          <a:r>
            <a:rPr lang="en-IN" sz="1200"/>
            <a:t>Low-margin products may dilute overall profitability performance.</a:t>
          </a:r>
        </a:p>
        <a:p>
          <a:r>
            <a:rPr lang="en-IN" sz="1400" b="1"/>
            <a:t>Recommendation</a:t>
          </a:r>
          <a:r>
            <a:rPr lang="en-IN" b="1" baseline="0"/>
            <a:t> </a:t>
          </a:r>
          <a:r>
            <a:rPr lang="en-IN" sz="1200" b="1" baseline="0"/>
            <a:t>:</a:t>
          </a:r>
          <a:r>
            <a:rPr lang="en-IN" sz="1200"/>
            <a:t>Prioritize high-margin products while reviewing weak-performing items.</a:t>
          </a:r>
        </a:p>
        <a:p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266700</xdr:colOff>
      <xdr:row>0</xdr:row>
      <xdr:rowOff>0</xdr:rowOff>
    </xdr:from>
    <xdr:to>
      <xdr:col>14</xdr:col>
      <xdr:colOff>425450</xdr:colOff>
      <xdr:row>10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3A1D7E-455E-2929-44E4-C294E081DF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</xdr:colOff>
      <xdr:row>11</xdr:row>
      <xdr:rowOff>25400</xdr:rowOff>
    </xdr:from>
    <xdr:to>
      <xdr:col>5</xdr:col>
      <xdr:colOff>590550</xdr:colOff>
      <xdr:row>21</xdr:row>
      <xdr:rowOff>165100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CDF7E86-0EB5-0B09-14B5-98CD8018868F}"/>
            </a:ext>
          </a:extLst>
        </xdr:cNvPr>
        <xdr:cNvSpPr txBox="1"/>
      </xdr:nvSpPr>
      <xdr:spPr>
        <a:xfrm>
          <a:off x="19050" y="2057400"/>
          <a:ext cx="4749800" cy="1981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/>
            <a:t>Key Insight</a:t>
          </a:r>
          <a:r>
            <a:rPr lang="en-IN" sz="1400" b="1" baseline="0"/>
            <a:t> :</a:t>
          </a:r>
          <a:r>
            <a:rPr lang="en-IN" sz="1200"/>
            <a:t>Higher discount levels correlate with lower profitability margins.</a:t>
          </a:r>
        </a:p>
        <a:p>
          <a:r>
            <a:rPr lang="en-IN" sz="1400" b="1"/>
            <a:t>Business Risk</a:t>
          </a:r>
          <a:r>
            <a:rPr lang="en-IN" sz="1400" b="1" baseline="0"/>
            <a:t> :</a:t>
          </a:r>
          <a:r>
            <a:rPr lang="en-IN" sz="1200"/>
            <a:t>Excessive discount dependency may weaken long-term profitability.</a:t>
          </a:r>
        </a:p>
        <a:p>
          <a:r>
            <a:rPr lang="en-IN" sz="1400" b="1"/>
            <a:t>Recommendation</a:t>
          </a:r>
          <a:r>
            <a:rPr lang="en-IN" sz="1400" b="1" baseline="0"/>
            <a:t> :</a:t>
          </a:r>
          <a:r>
            <a:rPr lang="en-IN" sz="1200"/>
            <a:t>Optimize discounting selectively based on profitability contribution</a:t>
          </a:r>
          <a:r>
            <a:rPr lang="en-IN"/>
            <a:t>.</a:t>
          </a:r>
        </a:p>
        <a:p>
          <a:endParaRPr lang="en-IN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</xdr:colOff>
      <xdr:row>0</xdr:row>
      <xdr:rowOff>0</xdr:rowOff>
    </xdr:from>
    <xdr:to>
      <xdr:col>14</xdr:col>
      <xdr:colOff>533400</xdr:colOff>
      <xdr:row>13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5CB368-D0EB-6899-EDD7-B2885FE8EC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44450</xdr:colOff>
      <xdr:row>15</xdr:row>
      <xdr:rowOff>38100</xdr:rowOff>
    </xdr:from>
    <xdr:to>
      <xdr:col>7</xdr:col>
      <xdr:colOff>577850</xdr:colOff>
      <xdr:row>21</xdr:row>
      <xdr:rowOff>165100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C566384-2D2F-9848-D6CA-155F3AAA67D9}"/>
            </a:ext>
          </a:extLst>
        </xdr:cNvPr>
        <xdr:cNvSpPr txBox="1"/>
      </xdr:nvSpPr>
      <xdr:spPr>
        <a:xfrm>
          <a:off x="44450" y="2806700"/>
          <a:ext cx="6108700" cy="1231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/>
            <a:t>Key Insight</a:t>
          </a:r>
          <a:r>
            <a:rPr lang="en-IN" sz="1400" b="1" baseline="0"/>
            <a:t> :</a:t>
          </a:r>
          <a:r>
            <a:rPr lang="en-IN" sz="1200"/>
            <a:t>Monthly sales remain relatively stable, but profitability efficiency fluctuates.</a:t>
          </a:r>
        </a:p>
        <a:p>
          <a:r>
            <a:rPr lang="en-IN" sz="1400" b="1"/>
            <a:t>Business Risk</a:t>
          </a:r>
          <a:r>
            <a:rPr lang="en-IN" sz="1400" b="1" baseline="0"/>
            <a:t> :</a:t>
          </a:r>
          <a:r>
            <a:rPr lang="en-IN" sz="1200"/>
            <a:t>Inconsistent margin performance may affect sustainable growth quality</a:t>
          </a:r>
          <a:r>
            <a:rPr lang="en-IN"/>
            <a:t>.</a:t>
          </a:r>
        </a:p>
        <a:p>
          <a:r>
            <a:rPr lang="en-IN" sz="1200" b="1"/>
            <a:t>Recommendation :</a:t>
          </a:r>
          <a:r>
            <a:rPr lang="en-IN" sz="1100"/>
            <a:t>Continuously monitor profitability trends alongside revenue growth.</a:t>
          </a:r>
        </a:p>
        <a:p>
          <a:endParaRPr lang="en-IN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285750</xdr:colOff>
      <xdr:row>3</xdr:row>
      <xdr:rowOff>6350</xdr:rowOff>
    </xdr:from>
    <xdr:to>
      <xdr:col>17</xdr:col>
      <xdr:colOff>228600</xdr:colOff>
      <xdr:row>19</xdr:row>
      <xdr:rowOff>101600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95D2FEF-EF53-45DC-910F-83CA1BB71C11}"/>
            </a:ext>
          </a:extLst>
        </xdr:cNvPr>
        <xdr:cNvSpPr/>
      </xdr:nvSpPr>
      <xdr:spPr>
        <a:xfrm>
          <a:off x="1250950" y="565150"/>
          <a:ext cx="9086850" cy="30416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374650</xdr:colOff>
      <xdr:row>3</xdr:row>
      <xdr:rowOff>88900</xdr:rowOff>
    </xdr:from>
    <xdr:to>
      <xdr:col>17</xdr:col>
      <xdr:colOff>152400</xdr:colOff>
      <xdr:row>19</xdr:row>
      <xdr:rowOff>19050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BF3C04D-7E1F-4509-543A-6EED8BCF7BD6}"/>
            </a:ext>
          </a:extLst>
        </xdr:cNvPr>
        <xdr:cNvSpPr txBox="1"/>
      </xdr:nvSpPr>
      <xdr:spPr>
        <a:xfrm>
          <a:off x="1339850" y="647700"/>
          <a:ext cx="8921750" cy="2876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2400" b="1" u="sng"/>
            <a:t>BUSINESS QUESTIONS</a:t>
          </a:r>
        </a:p>
        <a:p>
          <a:r>
            <a:rPr lang="en-IN" sz="2400"/>
            <a:t>1.revenue growth sustainable from a profitability perspective?</a:t>
          </a:r>
        </a:p>
        <a:p>
          <a:r>
            <a:rPr lang="en-IN" sz="2400"/>
            <a:t>2Which categories demonstrate weak profit efficiency?</a:t>
          </a:r>
        </a:p>
        <a:p>
          <a:r>
            <a:rPr lang="en-IN" sz="2400"/>
            <a:t>3.Which products rely heavily on discounts for revenue generation?</a:t>
          </a:r>
        </a:p>
        <a:p>
          <a:r>
            <a:rPr lang="en-IN" sz="2400"/>
            <a:t>4.How significantly are discounts impacting margin performance?</a:t>
          </a:r>
        </a:p>
        <a:p>
          <a:r>
            <a:rPr lang="en-IN" sz="2400"/>
            <a:t>5.Which regions show weakest profitability conversion?</a:t>
          </a:r>
        </a:p>
        <a:p>
          <a:endParaRPr lang="en-IN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34635</xdr:colOff>
      <xdr:row>1</xdr:row>
      <xdr:rowOff>23090</xdr:rowOff>
    </xdr:from>
    <xdr:to>
      <xdr:col>15</xdr:col>
      <xdr:colOff>577273</xdr:colOff>
      <xdr:row>19</xdr:row>
      <xdr:rowOff>161636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18E65E2-1555-BE4E-93EC-013BFD72D61B}"/>
            </a:ext>
          </a:extLst>
        </xdr:cNvPr>
        <xdr:cNvSpPr txBox="1"/>
      </xdr:nvSpPr>
      <xdr:spPr>
        <a:xfrm>
          <a:off x="646544" y="207817"/>
          <a:ext cx="9109365" cy="346363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>
              <a:latin typeface="Algerian" panose="04020705040A02060702" pitchFamily="82" charset="0"/>
            </a:rPr>
            <a:t>EXECUTIVE SUMMARY</a:t>
          </a:r>
        </a:p>
        <a:p>
          <a:r>
            <a:rPr lang="en-IN" sz="1200"/>
            <a:t>Overall business revenue performance remains strong across categories and regions; however, profitability growth is not increasing proportionally with sales performance.</a:t>
          </a:r>
        </a:p>
        <a:p>
          <a:r>
            <a:rPr lang="en-IN" sz="1200"/>
            <a:t>The analysis indicates that higher discount dependency is contributing to margin pressure in several product categories, particularly within lower-margin business areas. While selected products successfully generate both revenue and profit through controlled discounting strategies, excessive discounts on weaker-margin products appear to reduce overall profitability efficiency.</a:t>
          </a:r>
        </a:p>
        <a:p>
          <a:r>
            <a:rPr lang="en-IN" sz="1200"/>
            <a:t>Category analysis shows that certain high-sales categories contribute relatively lower profit margins, suggesting inefficient revenue-to-profit conversion. Monthly trend analysis also reveals fluctuations in profitability consistency despite stable sales activity</a:t>
          </a:r>
          <a:r>
            <a:rPr lang="en-IN" sz="1100"/>
            <a:t>.</a:t>
          </a:r>
        </a:p>
        <a:p>
          <a:r>
            <a:rPr lang="en-IN" sz="1400" b="1"/>
            <a:t>Key Business Risks:</a:t>
          </a:r>
          <a:br>
            <a:rPr lang="en-IN" sz="1100"/>
          </a:br>
          <a:r>
            <a:rPr lang="en-IN" sz="1200"/>
            <a:t>• Margin erosion due to aggressive discounting</a:t>
          </a:r>
          <a:br>
            <a:rPr lang="en-IN" sz="1200"/>
          </a:br>
          <a:r>
            <a:rPr lang="en-IN" sz="1200"/>
            <a:t>• Weak profitability conversion in selected categories</a:t>
          </a:r>
          <a:br>
            <a:rPr lang="en-IN" sz="1200"/>
          </a:br>
          <a:r>
            <a:rPr lang="en-IN" sz="1200"/>
            <a:t>• Inconsistent regional and product-level performance</a:t>
          </a:r>
        </a:p>
        <a:p>
          <a:r>
            <a:rPr lang="en-IN" sz="1400" b="1"/>
            <a:t>Recommendations</a:t>
          </a:r>
          <a:r>
            <a:rPr lang="en-IN" sz="1100"/>
            <a:t>:</a:t>
          </a:r>
          <a:br>
            <a:rPr lang="en-IN" sz="1100"/>
          </a:br>
          <a:r>
            <a:rPr lang="en-IN" sz="1200"/>
            <a:t>• Implement tighter discount governance for low-margin products</a:t>
          </a:r>
          <a:br>
            <a:rPr lang="en-IN" sz="1200"/>
          </a:br>
          <a:r>
            <a:rPr lang="en-IN" sz="1200"/>
            <a:t>• Prioritize high-margin and high-profitability product categories</a:t>
          </a:r>
          <a:br>
            <a:rPr lang="en-IN" sz="1200"/>
          </a:br>
          <a:r>
            <a:rPr lang="en-IN" sz="1200"/>
            <a:t>• Improve pricing discipline to support sustainable profitability growth</a:t>
          </a:r>
          <a:br>
            <a:rPr lang="en-IN" sz="1200"/>
          </a:br>
          <a:r>
            <a:rPr lang="en-IN" sz="1200"/>
            <a:t>• Continuously monitor margin performance through KPI reporting dashboards</a:t>
          </a:r>
        </a:p>
        <a:p>
          <a:endParaRPr lang="en-IN" sz="1200"/>
        </a:p>
        <a:p>
          <a:endParaRPr lang="en-IN"/>
        </a:p>
        <a:p>
          <a:endParaRPr lang="en-IN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luri dedeepya" refreshedDate="46171.657869560186" createdVersion="8" refreshedVersion="8" minRefreshableVersion="3" recordCount="180" xr:uid="{2CDAFAB4-CC36-4C08-BC42-BE77249018F5}">
  <cacheSource type="worksheet">
    <worksheetSource name="Table1"/>
  </cacheSource>
  <cacheFields count="13">
    <cacheField name="Order Date" numFmtId="0">
      <sharedItems/>
    </cacheField>
    <cacheField name="Month" numFmtId="0">
      <sharedItems count="12">
        <s v="Mar"/>
        <s v="Apr"/>
        <s v="May"/>
        <s v="Jun"/>
        <s v="Jan"/>
        <s v="Nov"/>
        <s v="Feb"/>
        <s v="Jul"/>
        <s v="Oct"/>
        <s v="Aug"/>
        <s v="Sep"/>
        <s v="Dec"/>
      </sharedItems>
    </cacheField>
    <cacheField name="Region" numFmtId="0">
      <sharedItems/>
    </cacheField>
    <cacheField name="Segment" numFmtId="0">
      <sharedItems/>
    </cacheField>
    <cacheField name="Category" numFmtId="0">
      <sharedItems count="3">
        <s v="Office Supplies"/>
        <s v="Technology"/>
        <s v="Furniture"/>
      </sharedItems>
    </cacheField>
    <cacheField name="Product" numFmtId="0">
      <sharedItems count="6">
        <s v="Storage Box"/>
        <s v="Laptop"/>
        <s v="Office Chair"/>
        <s v="Table"/>
        <s v="Notebook"/>
        <s v="Printer"/>
      </sharedItems>
    </cacheField>
    <cacheField name="Sales" numFmtId="0">
      <sharedItems containsSemiMixedTypes="0" containsString="0" containsNumber="1" minValue="137.66999999999999" maxValue="4993.08"/>
    </cacheField>
    <cacheField name="Profit" numFmtId="0">
      <sharedItems containsSemiMixedTypes="0" containsString="0" containsNumber="1" minValue="-209.83" maxValue="1109.4100000000001"/>
    </cacheField>
    <cacheField name="Discount" numFmtId="10">
      <sharedItems containsSemiMixedTypes="0" containsString="0" containsNumber="1" minValue="0" maxValue="0.2" count="5">
        <n v="0.1"/>
        <n v="0"/>
        <n v="0.2"/>
        <n v="0.05"/>
        <n v="0.15"/>
      </sharedItems>
    </cacheField>
    <cacheField name="Quantity" numFmtId="0">
      <sharedItems containsSemiMixedTypes="0" containsString="0" containsNumber="1" containsInteger="1" minValue="1" maxValue="10"/>
    </cacheField>
    <cacheField name="Margin %" numFmtId="10">
      <sharedItems containsSemiMixedTypes="0" containsString="0" containsNumber="1" minValue="-9.2215941964484391E-2" maxValue="0.24750282795735781"/>
    </cacheField>
    <cacheField name="Discount Band" numFmtId="10">
      <sharedItems/>
    </cacheField>
    <cacheField name="Profit Category" numFmtId="1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">
  <r>
    <s v="2025-03-13"/>
    <x v="0"/>
    <s v="East"/>
    <s v="Home Office"/>
    <x v="0"/>
    <x v="0"/>
    <n v="645.52"/>
    <n v="63.89"/>
    <x v="0"/>
    <n v="9"/>
    <n v="9.8974470194571826E-2"/>
    <s v="Medium Discount"/>
    <s v="Low Profit"/>
  </r>
  <r>
    <s v="2025-04-22"/>
    <x v="1"/>
    <s v="West"/>
    <s v="Home Office"/>
    <x v="1"/>
    <x v="1"/>
    <n v="2993.41"/>
    <n v="167.51"/>
    <x v="1"/>
    <n v="10"/>
    <n v="5.5959591235413789E-2"/>
    <s v="Low Discount"/>
    <s v="High Profit"/>
  </r>
  <r>
    <s v="2025-05-23"/>
    <x v="2"/>
    <s v="East"/>
    <s v="Consumer"/>
    <x v="1"/>
    <x v="1"/>
    <n v="2850.1"/>
    <n v="111.11"/>
    <x v="2"/>
    <n v="7"/>
    <n v="3.8984597031683096E-2"/>
    <s v="High Discount"/>
    <s v="High Profit"/>
  </r>
  <r>
    <s v="2025-06-22"/>
    <x v="3"/>
    <s v="East"/>
    <s v="Consumer"/>
    <x v="2"/>
    <x v="2"/>
    <n v="1461.57"/>
    <n v="352.89"/>
    <x v="3"/>
    <n v="7"/>
    <n v="0.24144584248445164"/>
    <s v="Low Discount"/>
    <s v="High Profit"/>
  </r>
  <r>
    <s v="2025-01-23"/>
    <x v="4"/>
    <s v="Central"/>
    <s v="Home Office"/>
    <x v="1"/>
    <x v="1"/>
    <n v="1859"/>
    <n v="317.42"/>
    <x v="0"/>
    <n v="2"/>
    <n v="0.17074771382463691"/>
    <s v="Medium Discount"/>
    <s v="High Profit"/>
  </r>
  <r>
    <s v="2025-11-13"/>
    <x v="5"/>
    <s v="South"/>
    <s v="Home Office"/>
    <x v="2"/>
    <x v="3"/>
    <n v="486.12"/>
    <n v="104.94"/>
    <x v="0"/>
    <n v="4"/>
    <n v="0.21587262404344607"/>
    <s v="Medium Discount"/>
    <s v="High Profit"/>
  </r>
  <r>
    <s v="2025-02-10"/>
    <x v="6"/>
    <s v="West"/>
    <s v="Consumer"/>
    <x v="0"/>
    <x v="0"/>
    <n v="440.82"/>
    <n v="90.2"/>
    <x v="3"/>
    <n v="7"/>
    <n v="0.20461866521482691"/>
    <s v="Low Discount"/>
    <s v="Low Profit"/>
  </r>
  <r>
    <s v="2025-07-01"/>
    <x v="7"/>
    <s v="West"/>
    <s v="Home Office"/>
    <x v="2"/>
    <x v="2"/>
    <n v="2321.71"/>
    <n v="191.61"/>
    <x v="0"/>
    <n v="5"/>
    <n v="8.2529687170232291E-2"/>
    <s v="Medium Discount"/>
    <s v="High Profit"/>
  </r>
  <r>
    <s v="2025-03-29"/>
    <x v="0"/>
    <s v="West"/>
    <s v="Consumer"/>
    <x v="0"/>
    <x v="0"/>
    <n v="4689.6099999999997"/>
    <n v="805.8"/>
    <x v="1"/>
    <n v="8"/>
    <n v="0.17182665509498657"/>
    <s v="Low Discount"/>
    <s v="High Profit"/>
  </r>
  <r>
    <s v="2025-01-29"/>
    <x v="4"/>
    <s v="West"/>
    <s v="Consumer"/>
    <x v="2"/>
    <x v="3"/>
    <n v="1422.74"/>
    <n v="16.350000000000001"/>
    <x v="2"/>
    <n v="6"/>
    <n v="1.1491909976524172E-2"/>
    <s v="High Discount"/>
    <s v="Low Profit"/>
  </r>
  <r>
    <s v="2025-10-18"/>
    <x v="8"/>
    <s v="South"/>
    <s v="Consumer"/>
    <x v="2"/>
    <x v="3"/>
    <n v="1411.93"/>
    <n v="328.45"/>
    <x v="3"/>
    <n v="8"/>
    <n v="0.23262484684084903"/>
    <s v="Low Discount"/>
    <s v="High Profit"/>
  </r>
  <r>
    <s v="2025-10-15"/>
    <x v="8"/>
    <s v="South"/>
    <s v="Home Office"/>
    <x v="2"/>
    <x v="3"/>
    <n v="4434.95"/>
    <n v="64.8"/>
    <x v="4"/>
    <n v="10"/>
    <n v="1.4611213204207487E-2"/>
    <s v="Medium Discount"/>
    <s v="Low Profit"/>
  </r>
  <r>
    <s v="2025-03-12"/>
    <x v="0"/>
    <s v="Central"/>
    <s v="Consumer"/>
    <x v="2"/>
    <x v="3"/>
    <n v="4499.33"/>
    <n v="-122.98"/>
    <x v="4"/>
    <n v="1"/>
    <n v="-2.7332958462704449E-2"/>
    <s v="Medium Discount"/>
    <s v="Loss-Making"/>
  </r>
  <r>
    <s v="2025-08-05"/>
    <x v="9"/>
    <s v="East"/>
    <s v="Corporate"/>
    <x v="1"/>
    <x v="1"/>
    <n v="848.92"/>
    <n v="176.93"/>
    <x v="3"/>
    <n v="7"/>
    <n v="0.20841775432314"/>
    <s v="Low Discount"/>
    <s v="High Profit"/>
  </r>
  <r>
    <s v="2025-01-06"/>
    <x v="4"/>
    <s v="East"/>
    <s v="Home Office"/>
    <x v="0"/>
    <x v="4"/>
    <n v="4980.99"/>
    <n v="-25.1"/>
    <x v="2"/>
    <n v="9"/>
    <n v="-5.0391588820696293E-3"/>
    <s v="High Discount"/>
    <s v="Loss-Making"/>
  </r>
  <r>
    <s v="2025-08-11"/>
    <x v="9"/>
    <s v="West"/>
    <s v="Corporate"/>
    <x v="2"/>
    <x v="2"/>
    <n v="3866.13"/>
    <n v="279.56"/>
    <x v="0"/>
    <n v="1"/>
    <n v="7.2310036134325545E-2"/>
    <s v="Medium Discount"/>
    <s v="High Profit"/>
  </r>
  <r>
    <s v="2025-04-02"/>
    <x v="1"/>
    <s v="East"/>
    <s v="Home Office"/>
    <x v="0"/>
    <x v="0"/>
    <n v="4391.68"/>
    <n v="1073.23"/>
    <x v="0"/>
    <n v="5"/>
    <n v="0.2443780056834742"/>
    <s v="Medium Discount"/>
    <s v="High Profit"/>
  </r>
  <r>
    <s v="2025-03-24"/>
    <x v="0"/>
    <s v="East"/>
    <s v="Home Office"/>
    <x v="0"/>
    <x v="0"/>
    <n v="2587.5500000000002"/>
    <n v="208.47"/>
    <x v="3"/>
    <n v="6"/>
    <n v="8.0566559100307231E-2"/>
    <s v="Low Discount"/>
    <s v="High Profit"/>
  </r>
  <r>
    <s v="2025-06-07"/>
    <x v="3"/>
    <s v="West"/>
    <s v="Consumer"/>
    <x v="2"/>
    <x v="3"/>
    <n v="195.44"/>
    <n v="44.12"/>
    <x v="0"/>
    <n v="4"/>
    <n v="0.22574703233729021"/>
    <s v="Medium Discount"/>
    <s v="Low Profit"/>
  </r>
  <r>
    <s v="2025-02-05"/>
    <x v="6"/>
    <s v="West"/>
    <s v="Consumer"/>
    <x v="0"/>
    <x v="4"/>
    <n v="4740.05"/>
    <n v="930.86"/>
    <x v="1"/>
    <n v="8"/>
    <n v="0.19638189470575204"/>
    <s v="Low Discount"/>
    <s v="High Profit"/>
  </r>
  <r>
    <s v="2025-04-19"/>
    <x v="1"/>
    <s v="West"/>
    <s v="Home Office"/>
    <x v="0"/>
    <x v="4"/>
    <n v="909.12"/>
    <n v="120.16"/>
    <x v="2"/>
    <n v="5"/>
    <n v="0.13217177050334389"/>
    <s v="High Discount"/>
    <s v="High Profit"/>
  </r>
  <r>
    <s v="2025-09-22"/>
    <x v="10"/>
    <s v="Central"/>
    <s v="Consumer"/>
    <x v="2"/>
    <x v="3"/>
    <n v="4976.2299999999996"/>
    <n v="684.83"/>
    <x v="0"/>
    <n v="4"/>
    <n v="0.1376202466525864"/>
    <s v="Medium Discount"/>
    <s v="High Profit"/>
  </r>
  <r>
    <s v="2025-04-28"/>
    <x v="1"/>
    <s v="West"/>
    <s v="Consumer"/>
    <x v="1"/>
    <x v="5"/>
    <n v="413.73"/>
    <n v="69.37"/>
    <x v="1"/>
    <n v="2"/>
    <n v="0.16766973630145265"/>
    <s v="Low Discount"/>
    <s v="Low Profit"/>
  </r>
  <r>
    <s v="2025-01-17"/>
    <x v="4"/>
    <s v="South"/>
    <s v="Consumer"/>
    <x v="0"/>
    <x v="0"/>
    <n v="3192.4"/>
    <n v="202.65"/>
    <x v="3"/>
    <n v="9"/>
    <n v="6.3478887357474006E-2"/>
    <s v="Low Discount"/>
    <s v="High Profit"/>
  </r>
  <r>
    <s v="2025-10-20"/>
    <x v="8"/>
    <s v="Central"/>
    <s v="Consumer"/>
    <x v="1"/>
    <x v="5"/>
    <n v="1464.54"/>
    <n v="43.37"/>
    <x v="4"/>
    <n v="8"/>
    <n v="2.9613393966706269E-2"/>
    <s v="Medium Discount"/>
    <s v="Low Profit"/>
  </r>
  <r>
    <s v="2025-07-01"/>
    <x v="7"/>
    <s v="Central"/>
    <s v="Corporate"/>
    <x v="2"/>
    <x v="3"/>
    <n v="1033.01"/>
    <n v="187.8"/>
    <x v="1"/>
    <n v="8"/>
    <n v="0.18179882092138508"/>
    <s v="Low Discount"/>
    <s v="High Profit"/>
  </r>
  <r>
    <s v="2025-06-23"/>
    <x v="3"/>
    <s v="East"/>
    <s v="Consumer"/>
    <x v="0"/>
    <x v="0"/>
    <n v="365.44"/>
    <n v="22.7"/>
    <x v="1"/>
    <n v="4"/>
    <n v="6.211690017513135E-2"/>
    <s v="Low Discount"/>
    <s v="Low Profit"/>
  </r>
  <r>
    <s v="2025-05-23"/>
    <x v="2"/>
    <s v="Central"/>
    <s v="Consumer"/>
    <x v="1"/>
    <x v="5"/>
    <n v="2727.8"/>
    <n v="366.55"/>
    <x v="3"/>
    <n v="2"/>
    <n v="0.13437568736710903"/>
    <s v="Low Discount"/>
    <s v="High Profit"/>
  </r>
  <r>
    <s v="2025-10-04"/>
    <x v="8"/>
    <s v="East"/>
    <s v="Consumer"/>
    <x v="2"/>
    <x v="3"/>
    <n v="4059.31"/>
    <n v="-185.24"/>
    <x v="2"/>
    <n v="4"/>
    <n v="-4.5633371188699562E-2"/>
    <s v="High Discount"/>
    <s v="Loss-Making"/>
  </r>
  <r>
    <s v="2025-01-31"/>
    <x v="4"/>
    <s v="West"/>
    <s v="Corporate"/>
    <x v="1"/>
    <x v="5"/>
    <n v="2091.4299999999998"/>
    <n v="5.53"/>
    <x v="4"/>
    <n v="1"/>
    <n v="2.6441238769645652E-3"/>
    <s v="Medium Discount"/>
    <s v="Low Profit"/>
  </r>
  <r>
    <s v="2025-10-12"/>
    <x v="8"/>
    <s v="Central"/>
    <s v="Consumer"/>
    <x v="2"/>
    <x v="3"/>
    <n v="1399.49"/>
    <n v="-17.649999999999999"/>
    <x v="4"/>
    <n v="4"/>
    <n v="-1.2611737132812667E-2"/>
    <s v="Medium Discount"/>
    <s v="Loss-Making"/>
  </r>
  <r>
    <s v="2025-10-05"/>
    <x v="8"/>
    <s v="East"/>
    <s v="Home Office"/>
    <x v="2"/>
    <x v="2"/>
    <n v="1166.73"/>
    <n v="193.49"/>
    <x v="1"/>
    <n v="6"/>
    <n v="0.16583956870912722"/>
    <s v="Low Discount"/>
    <s v="High Profit"/>
  </r>
  <r>
    <s v="2025-03-22"/>
    <x v="0"/>
    <s v="East"/>
    <s v="Home Office"/>
    <x v="1"/>
    <x v="1"/>
    <n v="345.7"/>
    <n v="5.29"/>
    <x v="4"/>
    <n v="2"/>
    <n v="1.5302285218397455E-2"/>
    <s v="Medium Discount"/>
    <s v="Low Profit"/>
  </r>
  <r>
    <s v="2025-05-01"/>
    <x v="2"/>
    <s v="Central"/>
    <s v="Consumer"/>
    <x v="1"/>
    <x v="5"/>
    <n v="435.75"/>
    <n v="80.63"/>
    <x v="1"/>
    <n v="10"/>
    <n v="0.18503729202524383"/>
    <s v="Low Discount"/>
    <s v="Low Profit"/>
  </r>
  <r>
    <s v="2025-08-03"/>
    <x v="9"/>
    <s v="South"/>
    <s v="Corporate"/>
    <x v="1"/>
    <x v="5"/>
    <n v="2936.7"/>
    <n v="510.62"/>
    <x v="1"/>
    <n v="4"/>
    <n v="0.1738754384172711"/>
    <s v="Low Discount"/>
    <s v="High Profit"/>
  </r>
  <r>
    <s v="2025-03-09"/>
    <x v="0"/>
    <s v="South"/>
    <s v="Corporate"/>
    <x v="0"/>
    <x v="0"/>
    <n v="3609.34"/>
    <n v="372.21"/>
    <x v="3"/>
    <n v="6"/>
    <n v="0.10312411687455324"/>
    <s v="Low Discount"/>
    <s v="High Profit"/>
  </r>
  <r>
    <s v="2025-02-07"/>
    <x v="6"/>
    <s v="West"/>
    <s v="Home Office"/>
    <x v="1"/>
    <x v="1"/>
    <n v="145.65"/>
    <n v="14.58"/>
    <x v="2"/>
    <n v="5"/>
    <n v="0.10010298661174047"/>
    <s v="High Discount"/>
    <s v="Low Profit"/>
  </r>
  <r>
    <s v="2025-07-09"/>
    <x v="7"/>
    <s v="South"/>
    <s v="Consumer"/>
    <x v="1"/>
    <x v="5"/>
    <n v="4672.97"/>
    <n v="1055.4100000000001"/>
    <x v="1"/>
    <n v="8"/>
    <n v="0.22585422119123386"/>
    <s v="Low Discount"/>
    <s v="High Profit"/>
  </r>
  <r>
    <s v="2025-09-28"/>
    <x v="10"/>
    <s v="East"/>
    <s v="Home Office"/>
    <x v="0"/>
    <x v="4"/>
    <n v="3547.35"/>
    <n v="411.71"/>
    <x v="2"/>
    <n v="9"/>
    <n v="0.11606128518471535"/>
    <s v="High Discount"/>
    <s v="High Profit"/>
  </r>
  <r>
    <s v="2025-03-10"/>
    <x v="0"/>
    <s v="South"/>
    <s v="Consumer"/>
    <x v="2"/>
    <x v="2"/>
    <n v="4665.6000000000004"/>
    <n v="1109.4100000000001"/>
    <x v="1"/>
    <n v="2"/>
    <n v="0.23778506515775033"/>
    <s v="Low Discount"/>
    <s v="High Profit"/>
  </r>
  <r>
    <s v="2025-04-18"/>
    <x v="1"/>
    <s v="South"/>
    <s v="Consumer"/>
    <x v="0"/>
    <x v="0"/>
    <n v="2810.8"/>
    <n v="298.93"/>
    <x v="0"/>
    <n v="5"/>
    <n v="0.10635050519425074"/>
    <s v="Medium Discount"/>
    <s v="High Profit"/>
  </r>
  <r>
    <s v="2025-08-05"/>
    <x v="9"/>
    <s v="South"/>
    <s v="Consumer"/>
    <x v="0"/>
    <x v="4"/>
    <n v="2493.81"/>
    <n v="170.73"/>
    <x v="1"/>
    <n v="1"/>
    <n v="6.8461510700494416E-2"/>
    <s v="Low Discount"/>
    <s v="High Profit"/>
  </r>
  <r>
    <s v="2025-08-15"/>
    <x v="9"/>
    <s v="Central"/>
    <s v="Home Office"/>
    <x v="2"/>
    <x v="2"/>
    <n v="3878.48"/>
    <n v="319.26"/>
    <x v="0"/>
    <n v="1"/>
    <n v="8.2315752562859668E-2"/>
    <s v="Medium Discount"/>
    <s v="High Profit"/>
  </r>
  <r>
    <s v="2025-07-09"/>
    <x v="7"/>
    <s v="West"/>
    <s v="Corporate"/>
    <x v="1"/>
    <x v="1"/>
    <n v="468.69"/>
    <n v="74.58"/>
    <x v="3"/>
    <n v="3"/>
    <n v="0.15912436791909365"/>
    <s v="Low Discount"/>
    <s v="Low Profit"/>
  </r>
  <r>
    <s v="2025-04-18"/>
    <x v="1"/>
    <s v="West"/>
    <s v="Home Office"/>
    <x v="1"/>
    <x v="1"/>
    <n v="1610.47"/>
    <n v="370.06"/>
    <x v="1"/>
    <n v="2"/>
    <n v="0.22978385191900502"/>
    <s v="Low Discount"/>
    <s v="High Profit"/>
  </r>
  <r>
    <s v="2025-05-02"/>
    <x v="2"/>
    <s v="West"/>
    <s v="Consumer"/>
    <x v="2"/>
    <x v="2"/>
    <n v="3922.57"/>
    <n v="470"/>
    <x v="4"/>
    <n v="7"/>
    <n v="0.11981940411515919"/>
    <s v="Medium Discount"/>
    <s v="High Profit"/>
  </r>
  <r>
    <s v="2025-07-30"/>
    <x v="7"/>
    <s v="West"/>
    <s v="Corporate"/>
    <x v="1"/>
    <x v="1"/>
    <n v="978.87"/>
    <n v="202.11"/>
    <x v="0"/>
    <n v="3"/>
    <n v="0.2064727696221153"/>
    <s v="Medium Discount"/>
    <s v="High Profit"/>
  </r>
  <r>
    <s v="2025-04-24"/>
    <x v="1"/>
    <s v="West"/>
    <s v="Corporate"/>
    <x v="0"/>
    <x v="0"/>
    <n v="629.66999999999996"/>
    <n v="139.61000000000001"/>
    <x v="1"/>
    <n v="6"/>
    <n v="0.22171931329108902"/>
    <s v="Low Discount"/>
    <s v="High Profit"/>
  </r>
  <r>
    <s v="2025-12-04"/>
    <x v="11"/>
    <s v="West"/>
    <s v="Corporate"/>
    <x v="2"/>
    <x v="2"/>
    <n v="4120.63"/>
    <n v="389.75"/>
    <x v="3"/>
    <n v="6"/>
    <n v="9.4585051314968818E-2"/>
    <s v="Low Discount"/>
    <s v="High Profit"/>
  </r>
  <r>
    <s v="2025-09-18"/>
    <x v="10"/>
    <s v="Central"/>
    <s v="Home Office"/>
    <x v="2"/>
    <x v="2"/>
    <n v="4335.33"/>
    <n v="521.23"/>
    <x v="0"/>
    <n v="9"/>
    <n v="0.1202284485840755"/>
    <s v="Medium Discount"/>
    <s v="High Profit"/>
  </r>
  <r>
    <s v="2025-05-14"/>
    <x v="2"/>
    <s v="West"/>
    <s v="Home Office"/>
    <x v="2"/>
    <x v="2"/>
    <n v="4702.26"/>
    <n v="1059.93"/>
    <x v="1"/>
    <n v="5"/>
    <n v="0.22540863329547919"/>
    <s v="Low Discount"/>
    <s v="High Profit"/>
  </r>
  <r>
    <s v="2025-08-12"/>
    <x v="9"/>
    <s v="East"/>
    <s v="Corporate"/>
    <x v="1"/>
    <x v="1"/>
    <n v="631.16999999999996"/>
    <n v="-6"/>
    <x v="4"/>
    <n v="10"/>
    <n v="-9.5061552355149969E-3"/>
    <s v="Medium Discount"/>
    <s v="Loss-Making"/>
  </r>
  <r>
    <s v="2025-10-03"/>
    <x v="8"/>
    <s v="West"/>
    <s v="Corporate"/>
    <x v="1"/>
    <x v="5"/>
    <n v="1348.14"/>
    <n v="-124.32"/>
    <x v="4"/>
    <n v="7"/>
    <n v="-9.2215941964484391E-2"/>
    <s v="Medium Discount"/>
    <s v="Loss-Making"/>
  </r>
  <r>
    <s v="2025-12-06"/>
    <x v="11"/>
    <s v="East"/>
    <s v="Home Office"/>
    <x v="1"/>
    <x v="1"/>
    <n v="4749.4799999999996"/>
    <n v="829.41"/>
    <x v="0"/>
    <n v="5"/>
    <n v="0.17463174915990803"/>
    <s v="Medium Discount"/>
    <s v="High Profit"/>
  </r>
  <r>
    <s v="2025-10-11"/>
    <x v="8"/>
    <s v="West"/>
    <s v="Consumer"/>
    <x v="0"/>
    <x v="4"/>
    <n v="1615.49"/>
    <n v="-7.24"/>
    <x v="4"/>
    <n v="7"/>
    <n v="-4.4816123900488399E-3"/>
    <s v="Medium Discount"/>
    <s v="Loss-Making"/>
  </r>
  <r>
    <s v="2025-06-04"/>
    <x v="3"/>
    <s v="Central"/>
    <s v="Home Office"/>
    <x v="0"/>
    <x v="0"/>
    <n v="4707.78"/>
    <n v="814.93"/>
    <x v="3"/>
    <n v="1"/>
    <n v="0.17310282128731588"/>
    <s v="Low Discount"/>
    <s v="High Profit"/>
  </r>
  <r>
    <s v="2025-06-14"/>
    <x v="3"/>
    <s v="Central"/>
    <s v="Corporate"/>
    <x v="2"/>
    <x v="2"/>
    <n v="1505.88"/>
    <n v="145.30000000000001"/>
    <x v="4"/>
    <n v="8"/>
    <n v="9.6488432013175016E-2"/>
    <s v="Medium Discount"/>
    <s v="High Profit"/>
  </r>
  <r>
    <s v="2025-03-28"/>
    <x v="0"/>
    <s v="East"/>
    <s v="Corporate"/>
    <x v="0"/>
    <x v="0"/>
    <n v="1147.1400000000001"/>
    <n v="72"/>
    <x v="4"/>
    <n v="9"/>
    <n v="6.2764788953397141E-2"/>
    <s v="Medium Discount"/>
    <s v="Low Profit"/>
  </r>
  <r>
    <s v="2025-05-01"/>
    <x v="2"/>
    <s v="South"/>
    <s v="Consumer"/>
    <x v="0"/>
    <x v="0"/>
    <n v="3201.41"/>
    <n v="219.86"/>
    <x v="0"/>
    <n v="4"/>
    <n v="6.8675989642063978E-2"/>
    <s v="Medium Discount"/>
    <s v="High Profit"/>
  </r>
  <r>
    <s v="2025-11-09"/>
    <x v="5"/>
    <s v="East"/>
    <s v="Corporate"/>
    <x v="1"/>
    <x v="5"/>
    <n v="219.68"/>
    <n v="54.21"/>
    <x v="3"/>
    <n v="7"/>
    <n v="0.2467680262199563"/>
    <s v="Low Discount"/>
    <s v="Low Profit"/>
  </r>
  <r>
    <s v="2025-12-02"/>
    <x v="11"/>
    <s v="East"/>
    <s v="Consumer"/>
    <x v="0"/>
    <x v="0"/>
    <n v="2920.79"/>
    <n v="217.53"/>
    <x v="4"/>
    <n v="7"/>
    <n v="7.447642589847267E-2"/>
    <s v="Medium Discount"/>
    <s v="High Profit"/>
  </r>
  <r>
    <s v="2025-03-04"/>
    <x v="0"/>
    <s v="Central"/>
    <s v="Consumer"/>
    <x v="1"/>
    <x v="5"/>
    <n v="961.84"/>
    <n v="35.75"/>
    <x v="2"/>
    <n v="8"/>
    <n v="3.7168344007319304E-2"/>
    <s v="High Discount"/>
    <s v="Low Profit"/>
  </r>
  <r>
    <s v="2025-08-15"/>
    <x v="9"/>
    <s v="Central"/>
    <s v="Home Office"/>
    <x v="0"/>
    <x v="0"/>
    <n v="2702.55"/>
    <n v="65.09"/>
    <x v="2"/>
    <n v="8"/>
    <n v="2.4084660783334259E-2"/>
    <s v="High Discount"/>
    <s v="Low Profit"/>
  </r>
  <r>
    <s v="2025-11-23"/>
    <x v="5"/>
    <s v="South"/>
    <s v="Home Office"/>
    <x v="1"/>
    <x v="5"/>
    <n v="3743.91"/>
    <n v="55.55"/>
    <x v="4"/>
    <n v="8"/>
    <n v="1.4837429318546654E-2"/>
    <s v="Medium Discount"/>
    <s v="Low Profit"/>
  </r>
  <r>
    <s v="2025-05-20"/>
    <x v="2"/>
    <s v="South"/>
    <s v="Corporate"/>
    <x v="0"/>
    <x v="0"/>
    <n v="1272.3"/>
    <n v="-16.64"/>
    <x v="4"/>
    <n v="9"/>
    <n v="-1.3078676412795726E-2"/>
    <s v="Medium Discount"/>
    <s v="Loss-Making"/>
  </r>
  <r>
    <s v="2025-03-20"/>
    <x v="0"/>
    <s v="West"/>
    <s v="Consumer"/>
    <x v="1"/>
    <x v="1"/>
    <n v="778.03"/>
    <n v="98.5"/>
    <x v="3"/>
    <n v="7"/>
    <n v="0.12660180198706991"/>
    <s v="Low Discount"/>
    <s v="Low Profit"/>
  </r>
  <r>
    <s v="2025-08-04"/>
    <x v="9"/>
    <s v="Central"/>
    <s v="Home Office"/>
    <x v="2"/>
    <x v="3"/>
    <n v="1721.32"/>
    <n v="107.53"/>
    <x v="4"/>
    <n v="1"/>
    <n v="6.2469500151046874E-2"/>
    <s v="Medium Discount"/>
    <s v="High Profit"/>
  </r>
  <r>
    <s v="2025-06-02"/>
    <x v="3"/>
    <s v="Central"/>
    <s v="Corporate"/>
    <x v="0"/>
    <x v="4"/>
    <n v="1963.87"/>
    <n v="468.48"/>
    <x v="1"/>
    <n v="9"/>
    <n v="0.23854939481737591"/>
    <s v="Low Discount"/>
    <s v="High Profit"/>
  </r>
  <r>
    <s v="2025-05-20"/>
    <x v="2"/>
    <s v="Central"/>
    <s v="Corporate"/>
    <x v="0"/>
    <x v="0"/>
    <n v="3699.71"/>
    <n v="483.7"/>
    <x v="2"/>
    <n v="1"/>
    <n v="0.1307399769171097"/>
    <s v="High Discount"/>
    <s v="High Profit"/>
  </r>
  <r>
    <s v="2025-03-07"/>
    <x v="0"/>
    <s v="East"/>
    <s v="Corporate"/>
    <x v="2"/>
    <x v="3"/>
    <n v="1747.03"/>
    <n v="106.19"/>
    <x v="4"/>
    <n v="10"/>
    <n v="6.0783157701928416E-2"/>
    <s v="Medium Discount"/>
    <s v="High Profit"/>
  </r>
  <r>
    <s v="2025-03-11"/>
    <x v="0"/>
    <s v="Central"/>
    <s v="Consumer"/>
    <x v="0"/>
    <x v="4"/>
    <n v="3348.7"/>
    <n v="597.91"/>
    <x v="1"/>
    <n v="1"/>
    <n v="0.17854988503001165"/>
    <s v="Low Discount"/>
    <s v="High Profit"/>
  </r>
  <r>
    <s v="2025-06-22"/>
    <x v="3"/>
    <s v="Central"/>
    <s v="Corporate"/>
    <x v="2"/>
    <x v="2"/>
    <n v="1957.61"/>
    <n v="275.91000000000003"/>
    <x v="3"/>
    <n v="7"/>
    <n v="0.14094227144323948"/>
    <s v="Low Discount"/>
    <s v="High Profit"/>
  </r>
  <r>
    <s v="2025-06-29"/>
    <x v="3"/>
    <s v="West"/>
    <s v="Home Office"/>
    <x v="2"/>
    <x v="2"/>
    <n v="4191.0600000000004"/>
    <n v="-209.83"/>
    <x v="4"/>
    <n v="2"/>
    <n v="-5.006609306476166E-2"/>
    <s v="Medium Discount"/>
    <s v="Loss-Making"/>
  </r>
  <r>
    <s v="2025-04-13"/>
    <x v="1"/>
    <s v="East"/>
    <s v="Home Office"/>
    <x v="0"/>
    <x v="0"/>
    <n v="297.26"/>
    <n v="71.319999999999993"/>
    <x v="1"/>
    <n v="3"/>
    <n v="0.23992464509183878"/>
    <s v="Low Discount"/>
    <s v="Low Profit"/>
  </r>
  <r>
    <s v="2025-04-22"/>
    <x v="1"/>
    <s v="Central"/>
    <s v="Home Office"/>
    <x v="1"/>
    <x v="5"/>
    <n v="718.48"/>
    <n v="116.96"/>
    <x v="1"/>
    <n v="5"/>
    <n v="0.16278810822848233"/>
    <s v="Low Discount"/>
    <s v="High Profit"/>
  </r>
  <r>
    <s v="2025-03-25"/>
    <x v="0"/>
    <s v="South"/>
    <s v="Consumer"/>
    <x v="2"/>
    <x v="2"/>
    <n v="922.17"/>
    <n v="111.5"/>
    <x v="2"/>
    <n v="10"/>
    <n v="0.12091046119479056"/>
    <s v="High Discount"/>
    <s v="High Profit"/>
  </r>
  <r>
    <s v="2025-07-23"/>
    <x v="7"/>
    <s v="West"/>
    <s v="Consumer"/>
    <x v="1"/>
    <x v="1"/>
    <n v="4651.55"/>
    <n v="184.44"/>
    <x v="2"/>
    <n v="10"/>
    <n v="3.9651299029355803E-2"/>
    <s v="High Discount"/>
    <s v="High Profit"/>
  </r>
  <r>
    <s v="2025-06-04"/>
    <x v="3"/>
    <s v="East"/>
    <s v="Home Office"/>
    <x v="0"/>
    <x v="0"/>
    <n v="4169.8"/>
    <n v="293.47000000000003"/>
    <x v="3"/>
    <n v="1"/>
    <n v="7.0379874334500464E-2"/>
    <s v="Low Discount"/>
    <s v="High Profit"/>
  </r>
  <r>
    <s v="2025-11-28"/>
    <x v="5"/>
    <s v="South"/>
    <s v="Consumer"/>
    <x v="2"/>
    <x v="2"/>
    <n v="2710.45"/>
    <n v="172.9"/>
    <x v="0"/>
    <n v="7"/>
    <n v="6.379014554778728E-2"/>
    <s v="Medium Discount"/>
    <s v="High Profit"/>
  </r>
  <r>
    <s v="2025-08-24"/>
    <x v="9"/>
    <s v="West"/>
    <s v="Corporate"/>
    <x v="2"/>
    <x v="3"/>
    <n v="617.14"/>
    <n v="109.31"/>
    <x v="0"/>
    <n v="3"/>
    <n v="0.17712350520141298"/>
    <s v="Medium Discount"/>
    <s v="High Profit"/>
  </r>
  <r>
    <s v="2025-10-03"/>
    <x v="8"/>
    <s v="Central"/>
    <s v="Corporate"/>
    <x v="0"/>
    <x v="0"/>
    <n v="2656.56"/>
    <n v="460.07"/>
    <x v="0"/>
    <n v="7"/>
    <n v="0.17318261209985847"/>
    <s v="Medium Discount"/>
    <s v="High Profit"/>
  </r>
  <r>
    <s v="2025-02-14"/>
    <x v="6"/>
    <s v="South"/>
    <s v="Corporate"/>
    <x v="0"/>
    <x v="0"/>
    <n v="3003.13"/>
    <n v="661.72"/>
    <x v="0"/>
    <n v="4"/>
    <n v="0.22034344167585154"/>
    <s v="Medium Discount"/>
    <s v="High Profit"/>
  </r>
  <r>
    <s v="2025-06-16"/>
    <x v="3"/>
    <s v="West"/>
    <s v="Corporate"/>
    <x v="2"/>
    <x v="3"/>
    <n v="2892.26"/>
    <n v="51.62"/>
    <x v="4"/>
    <n v="4"/>
    <n v="1.7847634721636366E-2"/>
    <s v="Medium Discount"/>
    <s v="Low Profit"/>
  </r>
  <r>
    <s v="2025-11-02"/>
    <x v="5"/>
    <s v="South"/>
    <s v="Home Office"/>
    <x v="2"/>
    <x v="2"/>
    <n v="4009.38"/>
    <n v="424.72"/>
    <x v="0"/>
    <n v="1"/>
    <n v="0.10593159042046402"/>
    <s v="Medium Discount"/>
    <s v="High Profit"/>
  </r>
  <r>
    <s v="2025-07-28"/>
    <x v="7"/>
    <s v="Central"/>
    <s v="Home Office"/>
    <x v="0"/>
    <x v="4"/>
    <n v="4745.51"/>
    <n v="466.35"/>
    <x v="1"/>
    <n v="4"/>
    <n v="9.8271840118343445E-2"/>
    <s v="Low Discount"/>
    <s v="High Profit"/>
  </r>
  <r>
    <s v="2025-05-31"/>
    <x v="2"/>
    <s v="West"/>
    <s v="Corporate"/>
    <x v="0"/>
    <x v="0"/>
    <n v="2432.86"/>
    <n v="213.87"/>
    <x v="4"/>
    <n v="4"/>
    <n v="8.7908880905600811E-2"/>
    <s v="Medium Discount"/>
    <s v="High Profit"/>
  </r>
  <r>
    <s v="2025-09-29"/>
    <x v="10"/>
    <s v="South"/>
    <s v="Corporate"/>
    <x v="2"/>
    <x v="2"/>
    <n v="3353.4"/>
    <n v="485.08"/>
    <x v="0"/>
    <n v="9"/>
    <n v="0.14465318780938749"/>
    <s v="Medium Discount"/>
    <s v="High Profit"/>
  </r>
  <r>
    <s v="2025-03-03"/>
    <x v="0"/>
    <s v="West"/>
    <s v="Corporate"/>
    <x v="2"/>
    <x v="2"/>
    <n v="1823.87"/>
    <n v="52.97"/>
    <x v="4"/>
    <n v="2"/>
    <n v="2.9042640100445757E-2"/>
    <s v="Medium Discount"/>
    <s v="Low Profit"/>
  </r>
  <r>
    <s v="2025-09-05"/>
    <x v="10"/>
    <s v="South"/>
    <s v="Home Office"/>
    <x v="0"/>
    <x v="0"/>
    <n v="2725.73"/>
    <n v="240.7"/>
    <x v="3"/>
    <n v="10"/>
    <n v="8.8306618777355059E-2"/>
    <s v="Low Discount"/>
    <s v="High Profit"/>
  </r>
  <r>
    <s v="2025-06-01"/>
    <x v="3"/>
    <s v="West"/>
    <s v="Corporate"/>
    <x v="0"/>
    <x v="4"/>
    <n v="3024.27"/>
    <n v="654.83000000000004"/>
    <x v="1"/>
    <n v="3"/>
    <n v="0.21652497958184952"/>
    <s v="Low Discount"/>
    <s v="High Profit"/>
  </r>
  <r>
    <s v="2025-01-28"/>
    <x v="4"/>
    <s v="South"/>
    <s v="Home Office"/>
    <x v="2"/>
    <x v="2"/>
    <n v="169.33"/>
    <n v="3.52"/>
    <x v="2"/>
    <n v="3"/>
    <n v="2.0787810783676842E-2"/>
    <s v="High Discount"/>
    <s v="Low Profit"/>
  </r>
  <r>
    <s v="2025-05-26"/>
    <x v="2"/>
    <s v="Central"/>
    <s v="Corporate"/>
    <x v="0"/>
    <x v="0"/>
    <n v="4355.46"/>
    <n v="84.02"/>
    <x v="4"/>
    <n v="8"/>
    <n v="1.9290729337429341E-2"/>
    <s v="Medium Discount"/>
    <s v="Low Profit"/>
  </r>
  <r>
    <s v="2025-09-02"/>
    <x v="10"/>
    <s v="East"/>
    <s v="Consumer"/>
    <x v="2"/>
    <x v="2"/>
    <n v="1003.38"/>
    <n v="100.84"/>
    <x v="1"/>
    <n v="7"/>
    <n v="0.10050030895572963"/>
    <s v="Low Discount"/>
    <s v="High Profit"/>
  </r>
  <r>
    <s v="2025-10-16"/>
    <x v="8"/>
    <s v="South"/>
    <s v="Consumer"/>
    <x v="2"/>
    <x v="3"/>
    <n v="463"/>
    <n v="37.200000000000003"/>
    <x v="1"/>
    <n v="4"/>
    <n v="8.0345572354211664E-2"/>
    <s v="Low Discount"/>
    <s v="Low Profit"/>
  </r>
  <r>
    <s v="2025-04-26"/>
    <x v="1"/>
    <s v="Central"/>
    <s v="Corporate"/>
    <x v="1"/>
    <x v="1"/>
    <n v="2834.56"/>
    <n v="119.59"/>
    <x v="4"/>
    <n v="8"/>
    <n v="4.2189969519078802E-2"/>
    <s v="Medium Discount"/>
    <s v="High Profit"/>
  </r>
  <r>
    <s v="2025-11-09"/>
    <x v="5"/>
    <s v="East"/>
    <s v="Consumer"/>
    <x v="2"/>
    <x v="2"/>
    <n v="4314.82"/>
    <n v="-4.43"/>
    <x v="4"/>
    <n v="4"/>
    <n v="-1.026694045174538E-3"/>
    <s v="Medium Discount"/>
    <s v="Loss-Making"/>
  </r>
  <r>
    <s v="2025-10-10"/>
    <x v="8"/>
    <s v="East"/>
    <s v="Consumer"/>
    <x v="2"/>
    <x v="2"/>
    <n v="3336.1"/>
    <n v="326.85000000000002"/>
    <x v="3"/>
    <n v="1"/>
    <n v="9.7973681844069432E-2"/>
    <s v="Low Discount"/>
    <s v="High Profit"/>
  </r>
  <r>
    <s v="2025-05-28"/>
    <x v="2"/>
    <s v="South"/>
    <s v="Home Office"/>
    <x v="2"/>
    <x v="3"/>
    <n v="2307.4699999999998"/>
    <n v="209.33"/>
    <x v="2"/>
    <n v="8"/>
    <n v="9.0718405873099123E-2"/>
    <s v="High Discount"/>
    <s v="High Profit"/>
  </r>
  <r>
    <s v="2025-11-17"/>
    <x v="5"/>
    <s v="West"/>
    <s v="Corporate"/>
    <x v="1"/>
    <x v="1"/>
    <n v="3468.19"/>
    <n v="719.88"/>
    <x v="0"/>
    <n v="2"/>
    <n v="0.20756648280515197"/>
    <s v="Medium Discount"/>
    <s v="High Profit"/>
  </r>
  <r>
    <s v="2025-03-14"/>
    <x v="0"/>
    <s v="East"/>
    <s v="Consumer"/>
    <x v="0"/>
    <x v="4"/>
    <n v="1201.57"/>
    <n v="278.38"/>
    <x v="3"/>
    <n v="3"/>
    <n v="0.2316802183809516"/>
    <s v="Low Discount"/>
    <s v="High Profit"/>
  </r>
  <r>
    <s v="2025-08-28"/>
    <x v="9"/>
    <s v="South"/>
    <s v="Home Office"/>
    <x v="2"/>
    <x v="2"/>
    <n v="3015.72"/>
    <n v="423.18"/>
    <x v="2"/>
    <n v="7"/>
    <n v="0.14032469857944371"/>
    <s v="High Discount"/>
    <s v="High Profit"/>
  </r>
  <r>
    <s v="2025-08-10"/>
    <x v="9"/>
    <s v="South"/>
    <s v="Home Office"/>
    <x v="2"/>
    <x v="2"/>
    <n v="2552.31"/>
    <n v="70.819999999999993"/>
    <x v="4"/>
    <n v="5"/>
    <n v="2.7747413127715673E-2"/>
    <s v="Medium Discount"/>
    <s v="Low Profit"/>
  </r>
  <r>
    <s v="2025-12-11"/>
    <x v="11"/>
    <s v="South"/>
    <s v="Home Office"/>
    <x v="1"/>
    <x v="1"/>
    <n v="547.5"/>
    <n v="63.15"/>
    <x v="2"/>
    <n v="1"/>
    <n v="0.11534246575342466"/>
    <s v="High Discount"/>
    <s v="Low Profit"/>
  </r>
  <r>
    <s v="2025-10-27"/>
    <x v="8"/>
    <s v="Central"/>
    <s v="Home Office"/>
    <x v="1"/>
    <x v="5"/>
    <n v="2405.4499999999998"/>
    <n v="397.06"/>
    <x v="4"/>
    <n v="8"/>
    <n v="0.16506682741275022"/>
    <s v="Medium Discount"/>
    <s v="High Profit"/>
  </r>
  <r>
    <s v="2025-03-24"/>
    <x v="0"/>
    <s v="South"/>
    <s v="Corporate"/>
    <x v="1"/>
    <x v="1"/>
    <n v="2403.0500000000002"/>
    <n v="-0.85"/>
    <x v="4"/>
    <n v="8"/>
    <n v="-3.5371715112045103E-4"/>
    <s v="Medium Discount"/>
    <s v="Loss-Making"/>
  </r>
  <r>
    <s v="2025-08-21"/>
    <x v="9"/>
    <s v="East"/>
    <s v="Corporate"/>
    <x v="2"/>
    <x v="2"/>
    <n v="3346.66"/>
    <n v="360.45"/>
    <x v="4"/>
    <n v="5"/>
    <n v="0.10770439781752554"/>
    <s v="Medium Discount"/>
    <s v="High Profit"/>
  </r>
  <r>
    <s v="2025-01-01"/>
    <x v="4"/>
    <s v="Central"/>
    <s v="Corporate"/>
    <x v="2"/>
    <x v="2"/>
    <n v="668.02"/>
    <n v="60.45"/>
    <x v="4"/>
    <n v="1"/>
    <n v="9.0491302655609118E-2"/>
    <s v="Medium Discount"/>
    <s v="Low Profit"/>
  </r>
  <r>
    <s v="2025-01-27"/>
    <x v="4"/>
    <s v="West"/>
    <s v="Corporate"/>
    <x v="1"/>
    <x v="5"/>
    <n v="2640.35"/>
    <n v="234.33"/>
    <x v="2"/>
    <n v="9"/>
    <n v="8.8749597591228441E-2"/>
    <s v="High Discount"/>
    <s v="High Profit"/>
  </r>
  <r>
    <s v="2025-01-15"/>
    <x v="4"/>
    <s v="West"/>
    <s v="Home Office"/>
    <x v="1"/>
    <x v="5"/>
    <n v="4645.6000000000004"/>
    <n v="593.23"/>
    <x v="4"/>
    <n v="3"/>
    <n v="0.12769717582228343"/>
    <s v="Medium Discount"/>
    <s v="High Profit"/>
  </r>
  <r>
    <s v="2025-02-28"/>
    <x v="6"/>
    <s v="Central"/>
    <s v="Consumer"/>
    <x v="2"/>
    <x v="2"/>
    <n v="2799.11"/>
    <n v="165.51"/>
    <x v="2"/>
    <n v="3"/>
    <n v="5.9129509022510719E-2"/>
    <s v="High Discount"/>
    <s v="High Profit"/>
  </r>
  <r>
    <s v="2025-05-20"/>
    <x v="2"/>
    <s v="Central"/>
    <s v="Corporate"/>
    <x v="2"/>
    <x v="3"/>
    <n v="4670"/>
    <n v="708.79"/>
    <x v="0"/>
    <n v="8"/>
    <n v="0.15177516059957172"/>
    <s v="Medium Discount"/>
    <s v="High Profit"/>
  </r>
  <r>
    <s v="2025-11-03"/>
    <x v="5"/>
    <s v="West"/>
    <s v="Consumer"/>
    <x v="1"/>
    <x v="5"/>
    <n v="2338.25"/>
    <n v="296.3"/>
    <x v="3"/>
    <n v="5"/>
    <n v="0.12671869988239068"/>
    <s v="Low Discount"/>
    <s v="High Profit"/>
  </r>
  <r>
    <s v="2025-06-02"/>
    <x v="3"/>
    <s v="Central"/>
    <s v="Consumer"/>
    <x v="2"/>
    <x v="3"/>
    <n v="1765.39"/>
    <n v="93.88"/>
    <x v="2"/>
    <n v="8"/>
    <n v="5.317805130877596E-2"/>
    <s v="High Discount"/>
    <s v="Low Profit"/>
  </r>
  <r>
    <s v="2025-10-06"/>
    <x v="8"/>
    <s v="Central"/>
    <s v="Corporate"/>
    <x v="0"/>
    <x v="4"/>
    <n v="2473.27"/>
    <n v="396.67"/>
    <x v="0"/>
    <n v="6"/>
    <n v="0.16038281303699153"/>
    <s v="Medium Discount"/>
    <s v="High Profit"/>
  </r>
  <r>
    <s v="2025-04-30"/>
    <x v="1"/>
    <s v="Central"/>
    <s v="Consumer"/>
    <x v="1"/>
    <x v="5"/>
    <n v="4905.8"/>
    <n v="806.31"/>
    <x v="3"/>
    <n v="6"/>
    <n v="0.16435851441151289"/>
    <s v="Low Discount"/>
    <s v="High Profit"/>
  </r>
  <r>
    <s v="2025-11-30"/>
    <x v="5"/>
    <s v="West"/>
    <s v="Corporate"/>
    <x v="0"/>
    <x v="0"/>
    <n v="2417.58"/>
    <n v="26.22"/>
    <x v="4"/>
    <n v="1"/>
    <n v="1.0845556300101755E-2"/>
    <s v="Medium Discount"/>
    <s v="Low Profit"/>
  </r>
  <r>
    <s v="2025-08-14"/>
    <x v="9"/>
    <s v="East"/>
    <s v="Home Office"/>
    <x v="1"/>
    <x v="5"/>
    <n v="2561.23"/>
    <n v="144.36000000000001"/>
    <x v="2"/>
    <n v="8"/>
    <n v="5.6363544078431069E-2"/>
    <s v="High Discount"/>
    <s v="High Profit"/>
  </r>
  <r>
    <s v="2025-02-08"/>
    <x v="6"/>
    <s v="Central"/>
    <s v="Corporate"/>
    <x v="1"/>
    <x v="1"/>
    <n v="3639.97"/>
    <n v="280.97000000000003"/>
    <x v="4"/>
    <n v="6"/>
    <n v="7.7190196622499652E-2"/>
    <s v="Medium Discount"/>
    <s v="High Profit"/>
  </r>
  <r>
    <s v="2025-12-12"/>
    <x v="11"/>
    <s v="Central"/>
    <s v="Corporate"/>
    <x v="0"/>
    <x v="4"/>
    <n v="3494.25"/>
    <n v="769.97"/>
    <x v="1"/>
    <n v="8"/>
    <n v="0.22035343779065608"/>
    <s v="Low Discount"/>
    <s v="High Profit"/>
  </r>
  <r>
    <s v="2025-12-17"/>
    <x v="11"/>
    <s v="South"/>
    <s v="Consumer"/>
    <x v="0"/>
    <x v="4"/>
    <n v="275.91000000000003"/>
    <n v="26.75"/>
    <x v="1"/>
    <n v="2"/>
    <n v="9.6951904606574602E-2"/>
    <s v="Low Discount"/>
    <s v="Low Profit"/>
  </r>
  <r>
    <s v="2025-12-22"/>
    <x v="11"/>
    <s v="South"/>
    <s v="Consumer"/>
    <x v="2"/>
    <x v="3"/>
    <n v="4893.8500000000004"/>
    <n v="678.95"/>
    <x v="1"/>
    <n v="1"/>
    <n v="0.13873535151261276"/>
    <s v="Low Discount"/>
    <s v="High Profit"/>
  </r>
  <r>
    <s v="2025-08-09"/>
    <x v="9"/>
    <s v="West"/>
    <s v="Consumer"/>
    <x v="2"/>
    <x v="2"/>
    <n v="4001.1"/>
    <n v="486.9"/>
    <x v="0"/>
    <n v="9"/>
    <n v="0.12169153482792232"/>
    <s v="Medium Discount"/>
    <s v="High Profit"/>
  </r>
  <r>
    <s v="2025-02-10"/>
    <x v="6"/>
    <s v="Central"/>
    <s v="Home Office"/>
    <x v="2"/>
    <x v="3"/>
    <n v="2873.05"/>
    <n v="241.33"/>
    <x v="3"/>
    <n v="4"/>
    <n v="8.399784201458381E-2"/>
    <s v="Low Discount"/>
    <s v="High Profit"/>
  </r>
  <r>
    <s v="2025-11-23"/>
    <x v="5"/>
    <s v="South"/>
    <s v="Corporate"/>
    <x v="2"/>
    <x v="3"/>
    <n v="4572.8599999999997"/>
    <n v="441"/>
    <x v="3"/>
    <n v="5"/>
    <n v="9.6438552678192652E-2"/>
    <s v="Low Discount"/>
    <s v="High Profit"/>
  </r>
  <r>
    <s v="2025-03-22"/>
    <x v="0"/>
    <s v="East"/>
    <s v="Corporate"/>
    <x v="0"/>
    <x v="0"/>
    <n v="146.05000000000001"/>
    <n v="16.43"/>
    <x v="4"/>
    <n v="6"/>
    <n v="0.1124957206436152"/>
    <s v="Medium Discount"/>
    <s v="Low Profit"/>
  </r>
  <r>
    <s v="2025-06-04"/>
    <x v="3"/>
    <s v="West"/>
    <s v="Corporate"/>
    <x v="0"/>
    <x v="4"/>
    <n v="1565.86"/>
    <n v="144.65"/>
    <x v="4"/>
    <n v="8"/>
    <n v="9.2377351742812266E-2"/>
    <s v="Medium Discount"/>
    <s v="High Profit"/>
  </r>
  <r>
    <s v="2025-12-25"/>
    <x v="11"/>
    <s v="South"/>
    <s v="Consumer"/>
    <x v="1"/>
    <x v="1"/>
    <n v="1262.31"/>
    <n v="53.28"/>
    <x v="2"/>
    <n v="7"/>
    <n v="4.2208332343085297E-2"/>
    <s v="High Discount"/>
    <s v="Low Profit"/>
  </r>
  <r>
    <s v="2025-09-12"/>
    <x v="10"/>
    <s v="South"/>
    <s v="Consumer"/>
    <x v="2"/>
    <x v="2"/>
    <n v="139.68"/>
    <n v="32.42"/>
    <x v="1"/>
    <n v="10"/>
    <n v="0.23210194730813288"/>
    <s v="Low Discount"/>
    <s v="Low Profit"/>
  </r>
  <r>
    <s v="2025-12-14"/>
    <x v="11"/>
    <s v="West"/>
    <s v="Home Office"/>
    <x v="2"/>
    <x v="2"/>
    <n v="1173.1199999999999"/>
    <n v="204.33"/>
    <x v="3"/>
    <n v="2"/>
    <n v="0.17417655482815059"/>
    <s v="Low Discount"/>
    <s v="High Profit"/>
  </r>
  <r>
    <s v="2025-01-18"/>
    <x v="4"/>
    <s v="South"/>
    <s v="Home Office"/>
    <x v="0"/>
    <x v="0"/>
    <n v="3267.07"/>
    <n v="678.64"/>
    <x v="0"/>
    <n v="3"/>
    <n v="0.20772129155481822"/>
    <s v="Medium Discount"/>
    <s v="High Profit"/>
  </r>
  <r>
    <s v="2025-03-31"/>
    <x v="0"/>
    <s v="West"/>
    <s v="Consumer"/>
    <x v="1"/>
    <x v="1"/>
    <n v="4557.18"/>
    <n v="909.14"/>
    <x v="0"/>
    <n v="9"/>
    <n v="0.19949617965496205"/>
    <s v="Medium Discount"/>
    <s v="High Profit"/>
  </r>
  <r>
    <s v="2025-05-12"/>
    <x v="2"/>
    <s v="Central"/>
    <s v="Corporate"/>
    <x v="2"/>
    <x v="2"/>
    <n v="2701.18"/>
    <n v="583.71"/>
    <x v="0"/>
    <n v="6"/>
    <n v="0.21609444761178451"/>
    <s v="Medium Discount"/>
    <s v="High Profit"/>
  </r>
  <r>
    <s v="2025-04-26"/>
    <x v="1"/>
    <s v="Central"/>
    <s v="Home Office"/>
    <x v="1"/>
    <x v="1"/>
    <n v="2394.8200000000002"/>
    <n v="187.16"/>
    <x v="1"/>
    <n v="6"/>
    <n v="7.8152011424658219E-2"/>
    <s v="Low Discount"/>
    <s v="High Profit"/>
  </r>
  <r>
    <s v="2025-03-05"/>
    <x v="0"/>
    <s v="Central"/>
    <s v="Corporate"/>
    <x v="1"/>
    <x v="1"/>
    <n v="3974.34"/>
    <n v="408.93"/>
    <x v="1"/>
    <n v="5"/>
    <n v="0.10289255574510485"/>
    <s v="Low Discount"/>
    <s v="High Profit"/>
  </r>
  <r>
    <s v="2025-04-30"/>
    <x v="1"/>
    <s v="Central"/>
    <s v="Consumer"/>
    <x v="0"/>
    <x v="4"/>
    <n v="1967.02"/>
    <n v="140.97"/>
    <x v="0"/>
    <n v="10"/>
    <n v="7.166678528942258E-2"/>
    <s v="Medium Discount"/>
    <s v="High Profit"/>
  </r>
  <r>
    <s v="2025-08-26"/>
    <x v="9"/>
    <s v="South"/>
    <s v="Home Office"/>
    <x v="0"/>
    <x v="4"/>
    <n v="1707.23"/>
    <n v="64.790000000000006"/>
    <x v="2"/>
    <n v="7"/>
    <n v="3.7950364039994612E-2"/>
    <s v="High Discount"/>
    <s v="Low Profit"/>
  </r>
  <r>
    <s v="2025-09-10"/>
    <x v="10"/>
    <s v="East"/>
    <s v="Consumer"/>
    <x v="1"/>
    <x v="1"/>
    <n v="784.91"/>
    <n v="87.03"/>
    <x v="1"/>
    <n v="4"/>
    <n v="0.11087895427501243"/>
    <s v="Low Discount"/>
    <s v="Low Profit"/>
  </r>
  <r>
    <s v="2025-12-23"/>
    <x v="11"/>
    <s v="Central"/>
    <s v="Home Office"/>
    <x v="0"/>
    <x v="4"/>
    <n v="764.75"/>
    <n v="-15.86"/>
    <x v="4"/>
    <n v="3"/>
    <n v="-2.0738803530565543E-2"/>
    <s v="Medium Discount"/>
    <s v="Loss-Making"/>
  </r>
  <r>
    <s v="2025-05-24"/>
    <x v="2"/>
    <s v="East"/>
    <s v="Home Office"/>
    <x v="2"/>
    <x v="3"/>
    <n v="3309.12"/>
    <n v="96.71"/>
    <x v="4"/>
    <n v="6"/>
    <n v="2.922529252490088E-2"/>
    <s v="Medium Discount"/>
    <s v="Low Profit"/>
  </r>
  <r>
    <s v="2025-02-20"/>
    <x v="6"/>
    <s v="South"/>
    <s v="Home Office"/>
    <x v="1"/>
    <x v="5"/>
    <n v="2272.58"/>
    <n v="502.44"/>
    <x v="3"/>
    <n v="6"/>
    <n v="0.22108792649763706"/>
    <s v="Low Discount"/>
    <s v="High Profit"/>
  </r>
  <r>
    <s v="2025-08-21"/>
    <x v="9"/>
    <s v="East"/>
    <s v="Home Office"/>
    <x v="1"/>
    <x v="1"/>
    <n v="2050.88"/>
    <n v="499.68"/>
    <x v="3"/>
    <n v="4"/>
    <n v="0.24364175378374162"/>
    <s v="Low Discount"/>
    <s v="High Profit"/>
  </r>
  <r>
    <s v="2025-06-20"/>
    <x v="3"/>
    <s v="West"/>
    <s v="Consumer"/>
    <x v="0"/>
    <x v="0"/>
    <n v="3233.52"/>
    <n v="194.39"/>
    <x v="1"/>
    <n v="10"/>
    <n v="6.0117147875998908E-2"/>
    <s v="Low Discount"/>
    <s v="High Profit"/>
  </r>
  <r>
    <s v="2025-04-30"/>
    <x v="1"/>
    <s v="South"/>
    <s v="Consumer"/>
    <x v="1"/>
    <x v="5"/>
    <n v="436.19"/>
    <n v="8.65"/>
    <x v="2"/>
    <n v="10"/>
    <n v="1.9830807675554233E-2"/>
    <s v="High Discount"/>
    <s v="Low Profit"/>
  </r>
  <r>
    <s v="2025-10-04"/>
    <x v="8"/>
    <s v="South"/>
    <s v="Consumer"/>
    <x v="1"/>
    <x v="1"/>
    <n v="1458.65"/>
    <n v="361.02"/>
    <x v="3"/>
    <n v="2"/>
    <n v="0.24750282795735781"/>
    <s v="Low Discount"/>
    <s v="High Profit"/>
  </r>
  <r>
    <s v="2025-05-02"/>
    <x v="2"/>
    <s v="South"/>
    <s v="Consumer"/>
    <x v="0"/>
    <x v="0"/>
    <n v="4345.59"/>
    <n v="230.19"/>
    <x v="3"/>
    <n v="3"/>
    <n v="5.2970942955962247E-2"/>
    <s v="Low Discount"/>
    <s v="High Profit"/>
  </r>
  <r>
    <s v="2025-09-01"/>
    <x v="10"/>
    <s v="Central"/>
    <s v="Corporate"/>
    <x v="2"/>
    <x v="2"/>
    <n v="356.76"/>
    <n v="10.93"/>
    <x v="4"/>
    <n v="9"/>
    <n v="3.0636842695369437E-2"/>
    <s v="Medium Discount"/>
    <s v="Low Profit"/>
  </r>
  <r>
    <s v="2025-12-04"/>
    <x v="11"/>
    <s v="South"/>
    <s v="Corporate"/>
    <x v="0"/>
    <x v="4"/>
    <n v="634.36"/>
    <n v="-10.91"/>
    <x v="2"/>
    <n v="1"/>
    <n v="-1.7198436219181538E-2"/>
    <s v="High Discount"/>
    <s v="Loss-Making"/>
  </r>
  <r>
    <s v="2025-12-31"/>
    <x v="11"/>
    <s v="Central"/>
    <s v="Consumer"/>
    <x v="1"/>
    <x v="1"/>
    <n v="4993.08"/>
    <n v="371.78"/>
    <x v="4"/>
    <n v="2"/>
    <n v="7.4459051327036618E-2"/>
    <s v="Medium Discount"/>
    <s v="High Profit"/>
  </r>
  <r>
    <s v="2025-11-16"/>
    <x v="5"/>
    <s v="South"/>
    <s v="Corporate"/>
    <x v="2"/>
    <x v="2"/>
    <n v="3080.66"/>
    <n v="231.78"/>
    <x v="1"/>
    <n v="10"/>
    <n v="7.5237124512279846E-2"/>
    <s v="Low Discount"/>
    <s v="High Profit"/>
  </r>
  <r>
    <s v="2025-12-26"/>
    <x v="11"/>
    <s v="East"/>
    <s v="Home Office"/>
    <x v="0"/>
    <x v="4"/>
    <n v="1545"/>
    <n v="171.75"/>
    <x v="2"/>
    <n v="9"/>
    <n v="0.11116504854368932"/>
    <s v="High Discount"/>
    <s v="High Profit"/>
  </r>
  <r>
    <s v="2025-06-23"/>
    <x v="3"/>
    <s v="Central"/>
    <s v="Corporate"/>
    <x v="0"/>
    <x v="0"/>
    <n v="4340.91"/>
    <n v="292.83999999999997"/>
    <x v="4"/>
    <n v="7"/>
    <n v="6.7460509432354043E-2"/>
    <s v="Medium Discount"/>
    <s v="High Profit"/>
  </r>
  <r>
    <s v="2025-03-20"/>
    <x v="0"/>
    <s v="Central"/>
    <s v="Consumer"/>
    <x v="0"/>
    <x v="0"/>
    <n v="565.91999999999996"/>
    <n v="20.95"/>
    <x v="4"/>
    <n v="2"/>
    <n v="3.7019366694939215E-2"/>
    <s v="Medium Discount"/>
    <s v="Low Profit"/>
  </r>
  <r>
    <s v="2025-07-10"/>
    <x v="7"/>
    <s v="West"/>
    <s v="Home Office"/>
    <x v="1"/>
    <x v="1"/>
    <n v="556.83000000000004"/>
    <n v="110.76"/>
    <x v="1"/>
    <n v="1"/>
    <n v="0.19891169656807284"/>
    <s v="Low Discount"/>
    <s v="High Profit"/>
  </r>
  <r>
    <s v="2025-07-01"/>
    <x v="7"/>
    <s v="Central"/>
    <s v="Home Office"/>
    <x v="0"/>
    <x v="4"/>
    <n v="4787.46"/>
    <n v="257.12"/>
    <x v="2"/>
    <n v="1"/>
    <n v="5.3706976141837219E-2"/>
    <s v="High Discount"/>
    <s v="High Profit"/>
  </r>
  <r>
    <s v="2025-09-17"/>
    <x v="10"/>
    <s v="West"/>
    <s v="Consumer"/>
    <x v="2"/>
    <x v="2"/>
    <n v="3042.01"/>
    <n v="215.13"/>
    <x v="0"/>
    <n v="8"/>
    <n v="7.0719688626927582E-2"/>
    <s v="Medium Discount"/>
    <s v="High Profit"/>
  </r>
  <r>
    <s v="2025-07-08"/>
    <x v="7"/>
    <s v="East"/>
    <s v="Corporate"/>
    <x v="1"/>
    <x v="5"/>
    <n v="4251.6499999999996"/>
    <n v="931.43"/>
    <x v="0"/>
    <n v="10"/>
    <n v="0.21907494737337269"/>
    <s v="Medium Discount"/>
    <s v="High Profit"/>
  </r>
  <r>
    <s v="2025-11-11"/>
    <x v="5"/>
    <s v="East"/>
    <s v="Home Office"/>
    <x v="1"/>
    <x v="5"/>
    <n v="4055.38"/>
    <n v="458.53"/>
    <x v="2"/>
    <n v="5"/>
    <n v="0.11306708619167623"/>
    <s v="High Discount"/>
    <s v="High Profit"/>
  </r>
  <r>
    <s v="2025-06-29"/>
    <x v="3"/>
    <s v="East"/>
    <s v="Consumer"/>
    <x v="1"/>
    <x v="1"/>
    <n v="984.04"/>
    <n v="230.57"/>
    <x v="0"/>
    <n v="3"/>
    <n v="0.23430958091134507"/>
    <s v="Medium Discount"/>
    <s v="High Profit"/>
  </r>
  <r>
    <s v="2025-11-21"/>
    <x v="5"/>
    <s v="East"/>
    <s v="Consumer"/>
    <x v="0"/>
    <x v="4"/>
    <n v="3320.99"/>
    <n v="260.27999999999997"/>
    <x v="1"/>
    <n v="9"/>
    <n v="7.8374219735681219E-2"/>
    <s v="Low Discount"/>
    <s v="High Profit"/>
  </r>
  <r>
    <s v="2025-06-16"/>
    <x v="3"/>
    <s v="East"/>
    <s v="Consumer"/>
    <x v="1"/>
    <x v="5"/>
    <n v="1943.35"/>
    <n v="60.58"/>
    <x v="4"/>
    <n v="3"/>
    <n v="3.1172974502791571E-2"/>
    <s v="Medium Discount"/>
    <s v="Low Profit"/>
  </r>
  <r>
    <s v="2025-05-20"/>
    <x v="2"/>
    <s v="Central"/>
    <s v="Home Office"/>
    <x v="1"/>
    <x v="5"/>
    <n v="3796.74"/>
    <n v="701.61"/>
    <x v="1"/>
    <n v="7"/>
    <n v="0.18479274324815501"/>
    <s v="Low Discount"/>
    <s v="High Profit"/>
  </r>
  <r>
    <s v="2025-02-28"/>
    <x v="6"/>
    <s v="South"/>
    <s v="Corporate"/>
    <x v="2"/>
    <x v="3"/>
    <n v="3074.67"/>
    <n v="-64.14"/>
    <x v="4"/>
    <n v="2"/>
    <n v="-2.0860775302715413E-2"/>
    <s v="Medium Discount"/>
    <s v="Loss-Making"/>
  </r>
  <r>
    <s v="2025-01-24"/>
    <x v="4"/>
    <s v="West"/>
    <s v="Corporate"/>
    <x v="2"/>
    <x v="2"/>
    <n v="3423.27"/>
    <n v="104.8"/>
    <x v="2"/>
    <n v="10"/>
    <n v="3.0614003569686292E-2"/>
    <s v="High Discount"/>
    <s v="High Profit"/>
  </r>
  <r>
    <s v="2025-03-12"/>
    <x v="0"/>
    <s v="South"/>
    <s v="Corporate"/>
    <x v="1"/>
    <x v="1"/>
    <n v="137.66999999999999"/>
    <n v="32.909999999999997"/>
    <x v="0"/>
    <n v="6"/>
    <n v="0.23904990193942036"/>
    <s v="Medium Discount"/>
    <s v="Low Profit"/>
  </r>
  <r>
    <s v="2025-12-27"/>
    <x v="11"/>
    <s v="West"/>
    <s v="Home Office"/>
    <x v="1"/>
    <x v="1"/>
    <n v="137.88"/>
    <n v="-0.4"/>
    <x v="4"/>
    <n v="9"/>
    <n v="-2.9010733971569485E-3"/>
    <s v="Medium Discount"/>
    <s v="Loss-Making"/>
  </r>
  <r>
    <s v="2025-01-22"/>
    <x v="4"/>
    <s v="Central"/>
    <s v="Consumer"/>
    <x v="0"/>
    <x v="0"/>
    <n v="4050.38"/>
    <n v="524.17999999999995"/>
    <x v="1"/>
    <n v="8"/>
    <n v="0.12941501785017701"/>
    <s v="Low Discount"/>
    <s v="High Profit"/>
  </r>
  <r>
    <s v="2025-11-24"/>
    <x v="5"/>
    <s v="Central"/>
    <s v="Corporate"/>
    <x v="1"/>
    <x v="1"/>
    <n v="4324.34"/>
    <n v="196.39"/>
    <x v="2"/>
    <n v="2"/>
    <n v="4.5415022870542089E-2"/>
    <s v="High Discount"/>
    <s v="High Profit"/>
  </r>
  <r>
    <s v="2025-11-13"/>
    <x v="5"/>
    <s v="Central"/>
    <s v="Home Office"/>
    <x v="2"/>
    <x v="3"/>
    <n v="202.2"/>
    <n v="17.059999999999999"/>
    <x v="0"/>
    <n v="6"/>
    <n v="8.437190900098912E-2"/>
    <s v="Medium Discount"/>
    <s v="Low Profit"/>
  </r>
  <r>
    <s v="2025-10-29"/>
    <x v="8"/>
    <s v="Central"/>
    <s v="Home Office"/>
    <x v="1"/>
    <x v="1"/>
    <n v="2239.89"/>
    <n v="220.99"/>
    <x v="1"/>
    <n v="2"/>
    <n v="9.8661094964484872E-2"/>
    <s v="Low Discount"/>
    <s v="High Profit"/>
  </r>
  <r>
    <s v="2025-03-28"/>
    <x v="0"/>
    <s v="East"/>
    <s v="Home Office"/>
    <x v="2"/>
    <x v="3"/>
    <n v="4365.57"/>
    <n v="411.74"/>
    <x v="0"/>
    <n v="2"/>
    <n v="9.4315289870509467E-2"/>
    <s v="Medium Discount"/>
    <s v="High Profit"/>
  </r>
  <r>
    <s v="2025-11-27"/>
    <x v="5"/>
    <s v="West"/>
    <s v="Consumer"/>
    <x v="0"/>
    <x v="4"/>
    <n v="2598.77"/>
    <n v="312.42"/>
    <x v="0"/>
    <n v="2"/>
    <n v="0.12021841101751983"/>
    <s v="Medium Discount"/>
    <s v="High Profit"/>
  </r>
  <r>
    <s v="2025-12-02"/>
    <x v="11"/>
    <s v="East"/>
    <s v="Consumer"/>
    <x v="1"/>
    <x v="5"/>
    <n v="1354.24"/>
    <n v="230.87"/>
    <x v="3"/>
    <n v="8"/>
    <n v="0.17047938327032136"/>
    <s v="Low Discount"/>
    <s v="High Profit"/>
  </r>
  <r>
    <s v="2025-10-17"/>
    <x v="8"/>
    <s v="South"/>
    <s v="Home Office"/>
    <x v="2"/>
    <x v="3"/>
    <n v="3796.78"/>
    <n v="-10"/>
    <x v="2"/>
    <n v="6"/>
    <n v="-2.6338107554296007E-3"/>
    <s v="High Discount"/>
    <s v="Loss-Making"/>
  </r>
  <r>
    <s v="2025-05-21"/>
    <x v="2"/>
    <s v="East"/>
    <s v="Corporate"/>
    <x v="1"/>
    <x v="5"/>
    <n v="2254.84"/>
    <n v="131.13999999999999"/>
    <x v="4"/>
    <n v="9"/>
    <n v="5.815933724787567E-2"/>
    <s v="Medium Discount"/>
    <s v="High Profit"/>
  </r>
  <r>
    <s v="2025-05-27"/>
    <x v="2"/>
    <s v="East"/>
    <s v="Home Office"/>
    <x v="1"/>
    <x v="1"/>
    <n v="1621"/>
    <n v="-47.58"/>
    <x v="4"/>
    <n v="2"/>
    <n v="-2.9352251696483651E-2"/>
    <s v="Medium Discount"/>
    <s v="Loss-Making"/>
  </r>
  <r>
    <s v="2025-01-22"/>
    <x v="4"/>
    <s v="Central"/>
    <s v="Home Office"/>
    <x v="0"/>
    <x v="4"/>
    <n v="3010.99"/>
    <n v="111.74"/>
    <x v="4"/>
    <n v="4"/>
    <n v="3.7110717737355491E-2"/>
    <s v="Medium Discount"/>
    <s v="High Profit"/>
  </r>
  <r>
    <s v="2025-02-22"/>
    <x v="6"/>
    <s v="South"/>
    <s v="Home Office"/>
    <x v="2"/>
    <x v="2"/>
    <n v="3064.53"/>
    <n v="73.5"/>
    <x v="2"/>
    <n v="2"/>
    <n v="2.3984101966696359E-2"/>
    <s v="High Discount"/>
    <s v="Low Profit"/>
  </r>
  <r>
    <s v="2025-08-13"/>
    <x v="9"/>
    <s v="Central"/>
    <s v="Home Office"/>
    <x v="0"/>
    <x v="4"/>
    <n v="3266.02"/>
    <n v="325.13"/>
    <x v="1"/>
    <n v="9"/>
    <n v="9.9549298534607866E-2"/>
    <s v="Low Discount"/>
    <s v="High Profit"/>
  </r>
  <r>
    <s v="2025-07-18"/>
    <x v="7"/>
    <s v="Central"/>
    <s v="Corporate"/>
    <x v="0"/>
    <x v="4"/>
    <n v="877.86"/>
    <n v="205.06"/>
    <x v="0"/>
    <n v="10"/>
    <n v="0.23359077757273369"/>
    <s v="Medium Discount"/>
    <s v="High Profit"/>
  </r>
  <r>
    <s v="2025-02-18"/>
    <x v="6"/>
    <s v="Central"/>
    <s v="Corporate"/>
    <x v="1"/>
    <x v="1"/>
    <n v="3967.21"/>
    <n v="250.66"/>
    <x v="0"/>
    <n v="5"/>
    <n v="6.3182942168425668E-2"/>
    <s v="Medium Discount"/>
    <s v="High Profi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D72347-0C9C-438C-A9FD-72EB02A5CED9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4" firstHeaderRow="0" firstDataRow="1" firstDataCol="0"/>
  <pivotFields count="13">
    <pivotField showAll="0"/>
    <pivotField showAll="0"/>
    <pivotField showAll="0"/>
    <pivotField showAll="0"/>
    <pivotField showAll="0"/>
    <pivotField dataField="1" showAll="0" countASubtotal="1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</pivotFields>
  <rowItems count="1">
    <i/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Sales" fld="6" baseField="0" baseItem="0" numFmtId="44"/>
    <dataField name="Count of Product" fld="5" subtotal="count" baseField="0" baseItem="0"/>
    <dataField name="Sum of Profit" fld="7" baseField="0" baseItem="0" numFmtId="164"/>
    <dataField name="Average of Discount" fld="8" subtotal="average" baseField="4" baseItem="0" numFmtId="10"/>
    <dataField name="Sum of Quantity" fld="9" baseField="0" baseItem="0"/>
    <dataField name="Average of Margin %" fld="10" subtotal="average" baseField="0" baseItem="5" numFmtId="10"/>
  </dataFields>
  <formats count="4">
    <format dxfId="1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2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0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69DB50-57D8-47CB-B0A2-CF970CD41550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D7" firstHeaderRow="0" firstDataRow="1" firstDataCol="1"/>
  <pivotFields count="13"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dataField="1" showAll="0"/>
    <pivotField dataField="1" showAll="0"/>
    <pivotField showAll="0"/>
    <pivotField showAll="0"/>
    <pivotField dataField="1"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6" baseField="0" baseItem="0"/>
    <dataField name="Sum of Profit" fld="7" baseField="0" baseItem="0"/>
    <dataField name="Average of Margin %" fld="10" subtotal="average" baseField="0" baseItem="1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DE7EE5-6B67-4279-AD8D-23583B3DFF9C}" name="PivotTable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E10" firstHeaderRow="0" firstDataRow="1" firstDataCol="1"/>
  <pivotFields count="13">
    <pivotField showAll="0"/>
    <pivotField showAll="0"/>
    <pivotField showAll="0"/>
    <pivotField showAll="0"/>
    <pivotField showAll="0"/>
    <pivotField axis="axisRow" showAll="0">
      <items count="7">
        <item x="1"/>
        <item x="4"/>
        <item x="2"/>
        <item x="5"/>
        <item x="0"/>
        <item x="3"/>
        <item t="default"/>
      </items>
    </pivotField>
    <pivotField dataField="1" showAll="0"/>
    <pivotField dataField="1" showAll="0"/>
    <pivotField dataField="1" showAll="0"/>
    <pivotField showAll="0"/>
    <pivotField dataField="1"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Sales" fld="6" baseField="0" baseItem="0"/>
    <dataField name="Sum of Profit" fld="7" baseField="0" baseItem="0"/>
    <dataField name="Average of Discount" fld="8" subtotal="average" baseField="0" baseItem="1" numFmtId="10"/>
    <dataField name="Average of Margin %" fld="10" subtotal="average" baseField="0" baseItem="1" numFmtId="2"/>
  </dataFields>
  <formats count="2">
    <format dxfId="1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2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</formats>
  <chartFormats count="2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3"/>
          </reference>
          <reference field="5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3"/>
          </reference>
          <reference field="5" count="1" selected="0">
            <x v="0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3"/>
          </reference>
          <reference field="5" count="1" selected="0">
            <x v="2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3"/>
          </reference>
          <reference field="5" count="1" selected="0">
            <x v="3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3"/>
          </reference>
          <reference field="5" count="1" selected="0">
            <x v="4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3"/>
          </reference>
          <reference field="5" count="1" selected="0">
            <x v="5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2"/>
          </reference>
          <reference field="5" count="1" selected="0">
            <x v="3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2"/>
          </reference>
          <reference field="5" count="1" selected="0">
            <x v="4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2"/>
          </reference>
          <reference field="5" count="1" selected="0">
            <x v="5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1"/>
          </reference>
          <reference field="5" count="1" selected="0">
            <x v="5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1"/>
          </reference>
          <reference field="5" count="1" selected="0">
            <x v="4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1"/>
          </reference>
          <reference field="5" count="1" selected="0">
            <x v="3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1"/>
          </reference>
          <reference field="5" count="1" selected="0">
            <x v="2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1"/>
          </reference>
          <reference field="5" count="1" selected="0">
            <x v="1"/>
          </reference>
        </references>
      </pivotArea>
    </chartFormat>
    <chartFormat chart="0" format="18">
      <pivotArea type="data" outline="0" fieldPosition="0">
        <references count="2">
          <reference field="4294967294" count="1" selected="0">
            <x v="1"/>
          </reference>
          <reference field="5" count="1" selected="0">
            <x v="0"/>
          </reference>
        </references>
      </pivotArea>
    </chartFormat>
    <chartFormat chart="0" format="19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20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2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2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A09C8C-1120-44D3-87F9-EB55789880E4}" name="PivotTable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C9" firstHeaderRow="0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6">
        <item x="1"/>
        <item x="3"/>
        <item x="0"/>
        <item x="4"/>
        <item x="2"/>
        <item t="default"/>
      </items>
    </pivotField>
    <pivotField showAll="0"/>
    <pivotField dataField="1" showAll="0"/>
    <pivotField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7" baseField="0" baseItem="0"/>
    <dataField name="Average of Margin %" fld="10" subtotal="average" baseField="7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3AE9D0-9749-491E-B1EF-1982E05CCF8A}" name="PivotTable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:D14" firstHeaderRow="0" firstDataRow="1" firstDataCol="1"/>
  <pivotFields count="13">
    <pivotField showAll="0"/>
    <pivotField axis="axisRow" showAll="0">
      <items count="13">
        <item x="4"/>
        <item x="6"/>
        <item x="0"/>
        <item x="1"/>
        <item x="2"/>
        <item x="3"/>
        <item x="7"/>
        <item x="9"/>
        <item x="10"/>
        <item x="8"/>
        <item x="5"/>
        <item x="11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Profit" fld="7" baseField="0" baseItem="0"/>
    <dataField name="Sum of Sales" fld="6" baseField="0" baseItem="0"/>
    <dataField name="Average of Margin %" fld="10" subtotal="average" baseField="1" baseItem="0"/>
  </dataField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2"/>
          </reference>
          <reference field="1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2"/>
          </reference>
          <reference field="1" count="1" selected="0">
            <x v="0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2"/>
          </reference>
          <reference field="1" count="1" selected="0">
            <x v="2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2"/>
          </reference>
          <reference field="1" count="1" selected="0">
            <x v="3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2"/>
          </reference>
          <reference field="1" count="1" selected="0">
            <x v="4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2"/>
          </reference>
          <reference field="1" count="1" selected="0">
            <x v="5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2"/>
          </reference>
          <reference field="1" count="1" selected="0">
            <x v="6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2"/>
          </reference>
          <reference field="1" count="1" selected="0">
            <x v="7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2"/>
          </reference>
          <reference field="1" count="1" selected="0">
            <x v="8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2"/>
          </reference>
          <reference field="1" count="1" selected="0">
            <x v="10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2"/>
          </reference>
          <reference field="1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8C842E-FA53-4253-9F8F-C9306D5DBAF0}" name="Table1" displayName="Table1" ref="A1:M181" totalsRowShown="0" headerRowDxfId="11" headerRowBorderDxfId="10" tableBorderDxfId="9">
  <autoFilter ref="A1:M181" xr:uid="{C18C842E-FA53-4253-9F8F-C9306D5DBAF0}"/>
  <tableColumns count="13">
    <tableColumn id="1" xr3:uid="{4ACF7578-00BD-48E2-A9DA-351CC371FCD8}" name="Order Date"/>
    <tableColumn id="12" xr3:uid="{B92155B4-C5F5-43BC-9FE8-BA1328CECB26}" name="Month" dataDxfId="8">
      <calculatedColumnFormula>TEXT(A2,"mmm")</calculatedColumnFormula>
    </tableColumn>
    <tableColumn id="2" xr3:uid="{C491A4DC-01DE-4260-8C48-16E0BBCCDC6B}" name="Region"/>
    <tableColumn id="3" xr3:uid="{33E46368-B7B6-473A-B7FF-C18FE60C8308}" name="Segment"/>
    <tableColumn id="4" xr3:uid="{4D257E9E-775D-4244-AEE2-3935464D482C}" name="Category"/>
    <tableColumn id="5" xr3:uid="{CA29AE74-1920-4F47-B0C2-9F567B1E96A0}" name="Product"/>
    <tableColumn id="6" xr3:uid="{29965F95-5F75-4FCF-8B73-FD7877FADB2C}" name="Sales"/>
    <tableColumn id="7" xr3:uid="{533E5A7B-93B1-41CD-B7A0-94FC05C8A393}" name="Profit"/>
    <tableColumn id="8" xr3:uid="{F618F2F1-8549-43A8-8543-357C5307EA22}" name="Discount" dataDxfId="7"/>
    <tableColumn id="9" xr3:uid="{9D97C61D-48E8-4973-AC3C-62468FE2FA48}" name="Quantity"/>
    <tableColumn id="10" xr3:uid="{1D4B7157-637E-4DC1-8749-F7B76AE11259}" name="Margin %" dataDxfId="6">
      <calculatedColumnFormula>Table1[[#This Row],[Profit]]/Table1[[#This Row],[Sales]]</calculatedColumnFormula>
    </tableColumn>
    <tableColumn id="11" xr3:uid="{87E0C647-E670-447D-96CA-8D983B4B29BD}" name="Discount Band" dataDxfId="5">
      <calculatedColumnFormula>IF(I2&lt;=0.05,"Low Discount",
IF(I2&lt;=0.15,"Medium Discount",
"High Discount"))</calculatedColumnFormula>
    </tableColumn>
    <tableColumn id="13" xr3:uid="{FAFA421A-D2AA-459E-A39A-7F95AE6B7DF8}" name="Profit Category" dataDxfId="4">
      <calculatedColumnFormula>IF(H2&lt;0,"Loss-Making",
IF(H2&lt;100,"Low Profit",
"High Profit"))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C0796-82FE-427B-BAA7-60F2F0647F7A}">
  <dimension ref="A3:F17"/>
  <sheetViews>
    <sheetView workbookViewId="0">
      <selection activeCell="I4" sqref="I4"/>
    </sheetView>
  </sheetViews>
  <sheetFormatPr defaultRowHeight="14.5"/>
  <cols>
    <col min="1" max="1" width="12.6328125" bestFit="1" customWidth="1"/>
    <col min="2" max="2" width="15.26953125" bestFit="1" customWidth="1"/>
    <col min="3" max="3" width="11.81640625" bestFit="1" customWidth="1"/>
    <col min="4" max="4" width="17.7265625" bestFit="1" customWidth="1"/>
    <col min="5" max="5" width="14.54296875" bestFit="1" customWidth="1"/>
    <col min="6" max="6" width="18.1796875" bestFit="1" customWidth="1"/>
  </cols>
  <sheetData>
    <row r="3" spans="1:6">
      <c r="A3" t="s">
        <v>167</v>
      </c>
      <c r="B3" t="s">
        <v>171</v>
      </c>
      <c r="C3" s="3" t="s">
        <v>168</v>
      </c>
      <c r="D3" t="s">
        <v>170</v>
      </c>
      <c r="E3" t="s">
        <v>169</v>
      </c>
      <c r="F3" t="s">
        <v>172</v>
      </c>
    </row>
    <row r="4" spans="1:6">
      <c r="A4" s="4">
        <v>447021.61000000004</v>
      </c>
      <c r="B4" s="20">
        <v>180</v>
      </c>
      <c r="C4" s="3">
        <v>45876.53</v>
      </c>
      <c r="D4" s="2">
        <v>0.10111111111111111</v>
      </c>
      <c r="E4" s="20">
        <v>991</v>
      </c>
      <c r="F4" s="2">
        <v>0.1060139854227538</v>
      </c>
    </row>
    <row r="7" spans="1:6">
      <c r="A7" s="9" t="s">
        <v>190</v>
      </c>
      <c r="B7" s="8"/>
      <c r="C7" s="8"/>
      <c r="D7" s="8"/>
      <c r="E7" s="8"/>
      <c r="F7" s="8"/>
    </row>
    <row r="8" spans="1:6">
      <c r="A8" s="8"/>
      <c r="B8" s="8"/>
      <c r="C8" s="8"/>
      <c r="D8" s="8"/>
      <c r="E8" s="8"/>
      <c r="F8" s="8"/>
    </row>
    <row r="9" spans="1:6">
      <c r="A9" s="8"/>
      <c r="B9" s="8"/>
      <c r="C9" s="8"/>
      <c r="D9" s="8"/>
      <c r="E9" s="8"/>
      <c r="F9" s="8"/>
    </row>
    <row r="10" spans="1:6">
      <c r="A10" s="8"/>
      <c r="B10" s="8"/>
      <c r="C10" s="8"/>
      <c r="D10" s="8"/>
      <c r="E10" s="8"/>
      <c r="F10" s="8"/>
    </row>
    <row r="11" spans="1:6">
      <c r="A11" s="8"/>
      <c r="B11" s="8"/>
      <c r="C11" s="8"/>
      <c r="D11" s="8"/>
      <c r="E11" s="8"/>
      <c r="F11" s="8"/>
    </row>
    <row r="12" spans="1:6">
      <c r="A12" s="8"/>
      <c r="B12" s="8"/>
      <c r="C12" s="8"/>
      <c r="D12" s="8"/>
      <c r="E12" s="8"/>
      <c r="F12" s="8"/>
    </row>
    <row r="13" spans="1:6">
      <c r="A13" s="8"/>
      <c r="B13" s="8"/>
      <c r="C13" s="8"/>
      <c r="D13" s="8"/>
      <c r="E13" s="8"/>
      <c r="F13" s="8"/>
    </row>
    <row r="14" spans="1:6">
      <c r="A14" s="8"/>
      <c r="B14" s="8"/>
      <c r="C14" s="8"/>
      <c r="D14" s="8"/>
      <c r="E14" s="8"/>
      <c r="F14" s="8"/>
    </row>
    <row r="15" spans="1:6">
      <c r="A15" s="8"/>
      <c r="B15" s="8"/>
      <c r="C15" s="8"/>
      <c r="D15" s="8"/>
      <c r="E15" s="8"/>
      <c r="F15" s="8"/>
    </row>
    <row r="16" spans="1:6">
      <c r="A16" s="8"/>
      <c r="B16" s="8"/>
      <c r="C16" s="8"/>
      <c r="D16" s="8"/>
      <c r="E16" s="8"/>
      <c r="F16" s="8"/>
    </row>
    <row r="17" spans="1:6">
      <c r="A17" s="8"/>
      <c r="B17" s="8"/>
      <c r="C17" s="8"/>
      <c r="D17" s="8"/>
      <c r="E17" s="8"/>
      <c r="F17" s="8"/>
    </row>
  </sheetData>
  <mergeCells count="1">
    <mergeCell ref="A7:F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16C0F-3550-4059-A3A5-2F22B173452F}">
  <dimension ref="A3:D22"/>
  <sheetViews>
    <sheetView workbookViewId="0">
      <selection activeCell="F20" sqref="F20"/>
    </sheetView>
  </sheetViews>
  <sheetFormatPr defaultRowHeight="14.5"/>
  <cols>
    <col min="1" max="1" width="13.1796875" bestFit="1" customWidth="1"/>
    <col min="2" max="2" width="11.26953125" bestFit="1" customWidth="1"/>
    <col min="3" max="3" width="11.81640625" bestFit="1" customWidth="1"/>
    <col min="4" max="4" width="18.1796875" bestFit="1" customWidth="1"/>
  </cols>
  <sheetData>
    <row r="3" spans="1:4">
      <c r="A3" s="5" t="s">
        <v>173</v>
      </c>
      <c r="B3" t="s">
        <v>167</v>
      </c>
      <c r="C3" t="s">
        <v>168</v>
      </c>
      <c r="D3" t="s">
        <v>172</v>
      </c>
    </row>
    <row r="4" spans="1:4">
      <c r="A4" s="6" t="s">
        <v>160</v>
      </c>
      <c r="B4" s="20">
        <v>164292.85000000003</v>
      </c>
      <c r="C4" s="20">
        <v>14138.29</v>
      </c>
      <c r="D4" s="20">
        <v>9.4272065585942103E-2</v>
      </c>
    </row>
    <row r="5" spans="1:4">
      <c r="A5" s="6" t="s">
        <v>158</v>
      </c>
      <c r="B5" s="20">
        <v>149882.79999999999</v>
      </c>
      <c r="C5" s="20">
        <v>16370.769999999999</v>
      </c>
      <c r="D5" s="20">
        <v>0.10858440163053128</v>
      </c>
    </row>
    <row r="6" spans="1:4">
      <c r="A6" s="6" t="s">
        <v>159</v>
      </c>
      <c r="B6" s="20">
        <v>132845.96</v>
      </c>
      <c r="C6" s="20">
        <v>15367.470000000003</v>
      </c>
      <c r="D6" s="20">
        <v>0.11566256691994116</v>
      </c>
    </row>
    <row r="7" spans="1:4">
      <c r="A7" s="6" t="s">
        <v>174</v>
      </c>
      <c r="B7" s="20">
        <v>447021.60999999975</v>
      </c>
      <c r="C7" s="20">
        <v>45876.530000000021</v>
      </c>
      <c r="D7" s="20">
        <v>0.10601398542275382</v>
      </c>
    </row>
    <row r="10" spans="1:4" ht="15" thickBot="1"/>
    <row r="11" spans="1:4">
      <c r="A11" s="10"/>
      <c r="B11" s="11"/>
      <c r="C11" s="11"/>
      <c r="D11" s="12"/>
    </row>
    <row r="12" spans="1:4">
      <c r="A12" s="13"/>
      <c r="B12" s="21"/>
      <c r="C12" s="21"/>
      <c r="D12" s="14"/>
    </row>
    <row r="13" spans="1:4">
      <c r="A13" s="13"/>
      <c r="B13" s="21"/>
      <c r="C13" s="21"/>
      <c r="D13" s="14"/>
    </row>
    <row r="14" spans="1:4">
      <c r="A14" s="13"/>
      <c r="B14" s="21"/>
      <c r="C14" s="21"/>
      <c r="D14" s="14"/>
    </row>
    <row r="15" spans="1:4">
      <c r="A15" s="13"/>
      <c r="B15" s="21"/>
      <c r="C15" s="21"/>
      <c r="D15" s="14"/>
    </row>
    <row r="16" spans="1:4">
      <c r="A16" s="13"/>
      <c r="B16" s="21"/>
      <c r="C16" s="21"/>
      <c r="D16" s="14"/>
    </row>
    <row r="17" spans="1:4">
      <c r="A17" s="13"/>
      <c r="B17" s="21"/>
      <c r="C17" s="21"/>
      <c r="D17" s="14"/>
    </row>
    <row r="18" spans="1:4">
      <c r="A18" s="13"/>
      <c r="B18" s="21"/>
      <c r="C18" s="21"/>
      <c r="D18" s="14"/>
    </row>
    <row r="19" spans="1:4">
      <c r="A19" s="13"/>
      <c r="B19" s="21"/>
      <c r="C19" s="21"/>
      <c r="D19" s="14"/>
    </row>
    <row r="20" spans="1:4">
      <c r="A20" s="13"/>
      <c r="B20" s="21"/>
      <c r="C20" s="21"/>
      <c r="D20" s="14"/>
    </row>
    <row r="21" spans="1:4">
      <c r="A21" s="13"/>
      <c r="B21" s="21"/>
      <c r="C21" s="21"/>
      <c r="D21" s="14"/>
    </row>
    <row r="22" spans="1:4" ht="15" thickBot="1">
      <c r="A22" s="15"/>
      <c r="B22" s="16"/>
      <c r="C22" s="16"/>
      <c r="D22" s="17"/>
    </row>
  </sheetData>
  <mergeCells count="1">
    <mergeCell ref="A11:D22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8FEC3-89F7-4A57-9845-E4132F1FCD90}">
  <dimension ref="A3:E22"/>
  <sheetViews>
    <sheetView workbookViewId="0">
      <selection activeCell="H24" sqref="H24"/>
    </sheetView>
  </sheetViews>
  <sheetFormatPr defaultRowHeight="14.5"/>
  <cols>
    <col min="1" max="1" width="12.36328125" bestFit="1" customWidth="1"/>
    <col min="2" max="2" width="11.26953125" bestFit="1" customWidth="1"/>
    <col min="3" max="3" width="11.81640625" bestFit="1" customWidth="1"/>
    <col min="4" max="4" width="17.7265625" bestFit="1" customWidth="1"/>
    <col min="5" max="5" width="18.1796875" bestFit="1" customWidth="1"/>
  </cols>
  <sheetData>
    <row r="3" spans="1:5">
      <c r="A3" s="5" t="s">
        <v>173</v>
      </c>
      <c r="B3" t="s">
        <v>167</v>
      </c>
      <c r="C3" t="s">
        <v>168</v>
      </c>
      <c r="D3" t="s">
        <v>170</v>
      </c>
      <c r="E3" t="s">
        <v>172</v>
      </c>
    </row>
    <row r="4" spans="1:5">
      <c r="A4" s="6" t="s">
        <v>162</v>
      </c>
      <c r="B4" s="20">
        <v>71249.34</v>
      </c>
      <c r="C4" s="20">
        <v>7601</v>
      </c>
      <c r="D4" s="2">
        <v>0.10147058823529412</v>
      </c>
      <c r="E4" s="7">
        <v>0.11484466444219672</v>
      </c>
    </row>
    <row r="5" spans="1:5">
      <c r="A5" s="6" t="s">
        <v>165</v>
      </c>
      <c r="B5" s="20">
        <v>64860.47</v>
      </c>
      <c r="C5" s="20">
        <v>7227.6</v>
      </c>
      <c r="D5" s="2">
        <v>9.4230769230769243E-2</v>
      </c>
      <c r="E5" s="7">
        <v>0.10933049514580187</v>
      </c>
    </row>
    <row r="6" spans="1:5">
      <c r="A6" s="6" t="s">
        <v>163</v>
      </c>
      <c r="B6" s="20">
        <v>97102.589999999982</v>
      </c>
      <c r="C6" s="20">
        <v>9796.369999999999</v>
      </c>
      <c r="D6" s="2">
        <v>0.10555555555555557</v>
      </c>
      <c r="E6" s="7">
        <v>0.10313468888002815</v>
      </c>
    </row>
    <row r="7" spans="1:5">
      <c r="A7" s="6" t="s">
        <v>166</v>
      </c>
      <c r="B7" s="20">
        <v>61596.62000000001</v>
      </c>
      <c r="C7" s="20">
        <v>7766.4699999999993</v>
      </c>
      <c r="D7" s="2">
        <v>9.9999999999999992E-2</v>
      </c>
      <c r="E7" s="7">
        <v>0.11673213169853007</v>
      </c>
    </row>
    <row r="8" spans="1:5">
      <c r="A8" s="6" t="s">
        <v>161</v>
      </c>
      <c r="B8" s="20">
        <v>85022.330000000016</v>
      </c>
      <c r="C8" s="20">
        <v>9143.17</v>
      </c>
      <c r="D8" s="2">
        <v>8.9062499999999989E-2</v>
      </c>
      <c r="E8" s="7">
        <v>0.1079782006493739</v>
      </c>
    </row>
    <row r="9" spans="1:5">
      <c r="A9" s="6" t="s">
        <v>164</v>
      </c>
      <c r="B9" s="20">
        <v>67190.259999999995</v>
      </c>
      <c r="C9" s="20">
        <v>4341.9199999999992</v>
      </c>
      <c r="D9" s="2">
        <v>0.11730769230769231</v>
      </c>
      <c r="E9" s="7">
        <v>8.2000741024899931E-2</v>
      </c>
    </row>
    <row r="10" spans="1:5">
      <c r="A10" s="6" t="s">
        <v>174</v>
      </c>
      <c r="B10" s="20">
        <v>447021.6100000001</v>
      </c>
      <c r="C10" s="20">
        <v>45876.529999999984</v>
      </c>
      <c r="D10" s="2">
        <v>0.10111111111111112</v>
      </c>
      <c r="E10" s="7">
        <v>0.1060139854227538</v>
      </c>
    </row>
    <row r="12" spans="1:5" ht="15" thickBot="1"/>
    <row r="13" spans="1:5">
      <c r="A13" s="10"/>
      <c r="B13" s="11"/>
      <c r="C13" s="11"/>
      <c r="D13" s="11"/>
      <c r="E13" s="12"/>
    </row>
    <row r="14" spans="1:5">
      <c r="A14" s="13"/>
      <c r="B14" s="21"/>
      <c r="C14" s="21"/>
      <c r="D14" s="21"/>
      <c r="E14" s="14"/>
    </row>
    <row r="15" spans="1:5">
      <c r="A15" s="13"/>
      <c r="B15" s="21"/>
      <c r="C15" s="21"/>
      <c r="D15" s="21"/>
      <c r="E15" s="14"/>
    </row>
    <row r="16" spans="1:5">
      <c r="A16" s="13"/>
      <c r="B16" s="21"/>
      <c r="C16" s="21"/>
      <c r="D16" s="21"/>
      <c r="E16" s="14"/>
    </row>
    <row r="17" spans="1:5">
      <c r="A17" s="13"/>
      <c r="B17" s="21"/>
      <c r="C17" s="21"/>
      <c r="D17" s="21"/>
      <c r="E17" s="14"/>
    </row>
    <row r="18" spans="1:5">
      <c r="A18" s="13"/>
      <c r="B18" s="21"/>
      <c r="C18" s="21"/>
      <c r="D18" s="21"/>
      <c r="E18" s="14"/>
    </row>
    <row r="19" spans="1:5">
      <c r="A19" s="13"/>
      <c r="B19" s="21"/>
      <c r="C19" s="21"/>
      <c r="D19" s="21"/>
      <c r="E19" s="14"/>
    </row>
    <row r="20" spans="1:5">
      <c r="A20" s="13"/>
      <c r="B20" s="21"/>
      <c r="C20" s="21"/>
      <c r="D20" s="21"/>
      <c r="E20" s="14"/>
    </row>
    <row r="21" spans="1:5">
      <c r="A21" s="13"/>
      <c r="B21" s="21"/>
      <c r="C21" s="21"/>
      <c r="D21" s="21"/>
      <c r="E21" s="14"/>
    </row>
    <row r="22" spans="1:5" ht="15" thickBot="1">
      <c r="A22" s="15"/>
      <c r="B22" s="16"/>
      <c r="C22" s="16"/>
      <c r="D22" s="16"/>
      <c r="E22" s="17"/>
    </row>
  </sheetData>
  <mergeCells count="1">
    <mergeCell ref="A13:E22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23044-B50E-4B1C-A9CD-72FAA35DE4B7}">
  <dimension ref="A3:F22"/>
  <sheetViews>
    <sheetView workbookViewId="0">
      <selection activeCell="H19" sqref="H19"/>
    </sheetView>
  </sheetViews>
  <sheetFormatPr defaultRowHeight="14.5"/>
  <cols>
    <col min="1" max="1" width="12.36328125" bestFit="1" customWidth="1"/>
    <col min="2" max="2" width="11.81640625" bestFit="1" customWidth="1"/>
    <col min="3" max="3" width="18.1796875" bestFit="1" customWidth="1"/>
  </cols>
  <sheetData>
    <row r="3" spans="1:6">
      <c r="A3" s="5" t="s">
        <v>173</v>
      </c>
      <c r="B3" t="s">
        <v>168</v>
      </c>
      <c r="C3" t="s">
        <v>172</v>
      </c>
    </row>
    <row r="4" spans="1:6">
      <c r="A4" s="6">
        <v>0</v>
      </c>
      <c r="B4" s="20">
        <v>14148.150000000001</v>
      </c>
      <c r="C4" s="20">
        <v>0.1523709929808123</v>
      </c>
    </row>
    <row r="5" spans="1:6">
      <c r="A5" s="6">
        <v>0.05</v>
      </c>
      <c r="B5" s="20">
        <v>8759.1</v>
      </c>
      <c r="C5" s="20">
        <v>0.15283893183396718</v>
      </c>
    </row>
    <row r="6" spans="1:6">
      <c r="A6" s="6">
        <v>0.1</v>
      </c>
      <c r="B6" s="20">
        <v>14695.879999999994</v>
      </c>
      <c r="C6" s="20">
        <v>0.15100290966006666</v>
      </c>
    </row>
    <row r="7" spans="1:6">
      <c r="A7" s="6">
        <v>0.15</v>
      </c>
      <c r="B7" s="20">
        <v>4224.1899999999987</v>
      </c>
      <c r="C7" s="20">
        <v>3.5704859859204116E-2</v>
      </c>
    </row>
    <row r="8" spans="1:6">
      <c r="A8" s="6">
        <v>0.2</v>
      </c>
      <c r="B8" s="20">
        <v>4049.2100000000005</v>
      </c>
      <c r="C8" s="20">
        <v>5.7528978726706086E-2</v>
      </c>
    </row>
    <row r="9" spans="1:6">
      <c r="A9" s="6" t="s">
        <v>174</v>
      </c>
      <c r="B9" s="20">
        <v>45876.530000000006</v>
      </c>
      <c r="C9" s="20">
        <v>0.1060139854227538</v>
      </c>
    </row>
    <row r="11" spans="1:6" ht="15" thickBot="1"/>
    <row r="12" spans="1:6">
      <c r="A12" s="10"/>
      <c r="B12" s="11"/>
      <c r="C12" s="11"/>
      <c r="D12" s="11"/>
      <c r="E12" s="11"/>
      <c r="F12" s="12"/>
    </row>
    <row r="13" spans="1:6">
      <c r="A13" s="13"/>
      <c r="B13" s="21"/>
      <c r="C13" s="21"/>
      <c r="D13" s="21"/>
      <c r="E13" s="21"/>
      <c r="F13" s="14"/>
    </row>
    <row r="14" spans="1:6">
      <c r="A14" s="13"/>
      <c r="B14" s="21"/>
      <c r="C14" s="21"/>
      <c r="D14" s="21"/>
      <c r="E14" s="21"/>
      <c r="F14" s="14"/>
    </row>
    <row r="15" spans="1:6">
      <c r="A15" s="13"/>
      <c r="B15" s="21"/>
      <c r="C15" s="21"/>
      <c r="D15" s="21"/>
      <c r="E15" s="21"/>
      <c r="F15" s="14"/>
    </row>
    <row r="16" spans="1:6">
      <c r="A16" s="13"/>
      <c r="B16" s="21"/>
      <c r="C16" s="21"/>
      <c r="D16" s="21"/>
      <c r="E16" s="21"/>
      <c r="F16" s="14"/>
    </row>
    <row r="17" spans="1:6">
      <c r="A17" s="13"/>
      <c r="B17" s="21"/>
      <c r="C17" s="21"/>
      <c r="D17" s="21"/>
      <c r="E17" s="21"/>
      <c r="F17" s="14"/>
    </row>
    <row r="18" spans="1:6">
      <c r="A18" s="13"/>
      <c r="B18" s="21"/>
      <c r="C18" s="21"/>
      <c r="D18" s="21"/>
      <c r="E18" s="21"/>
      <c r="F18" s="14"/>
    </row>
    <row r="19" spans="1:6">
      <c r="A19" s="13"/>
      <c r="B19" s="21"/>
      <c r="C19" s="21"/>
      <c r="D19" s="21"/>
      <c r="E19" s="21"/>
      <c r="F19" s="14"/>
    </row>
    <row r="20" spans="1:6">
      <c r="A20" s="13"/>
      <c r="B20" s="21"/>
      <c r="C20" s="21"/>
      <c r="D20" s="21"/>
      <c r="E20" s="21"/>
      <c r="F20" s="14"/>
    </row>
    <row r="21" spans="1:6">
      <c r="A21" s="13"/>
      <c r="B21" s="21"/>
      <c r="C21" s="21"/>
      <c r="D21" s="21"/>
      <c r="E21" s="21"/>
      <c r="F21" s="14"/>
    </row>
    <row r="22" spans="1:6" ht="15" thickBot="1">
      <c r="A22" s="15"/>
      <c r="B22" s="16"/>
      <c r="C22" s="16"/>
      <c r="D22" s="16"/>
      <c r="E22" s="16"/>
      <c r="F22" s="17"/>
    </row>
  </sheetData>
  <mergeCells count="1">
    <mergeCell ref="A12:F22"/>
  </mergeCell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81065-C7C4-479C-967D-4DAE0854439F}">
  <dimension ref="A1:H22"/>
  <sheetViews>
    <sheetView workbookViewId="0">
      <selection activeCell="K18" sqref="K18"/>
    </sheetView>
  </sheetViews>
  <sheetFormatPr defaultRowHeight="14.5"/>
  <cols>
    <col min="1" max="1" width="12.36328125" bestFit="1" customWidth="1"/>
    <col min="2" max="2" width="11.81640625" bestFit="1" customWidth="1"/>
    <col min="3" max="3" width="11.26953125" bestFit="1" customWidth="1"/>
    <col min="4" max="4" width="18.1796875" bestFit="1" customWidth="1"/>
  </cols>
  <sheetData>
    <row r="1" spans="1:8">
      <c r="A1" s="5" t="s">
        <v>173</v>
      </c>
      <c r="B1" t="s">
        <v>168</v>
      </c>
      <c r="C1" t="s">
        <v>167</v>
      </c>
      <c r="D1" t="s">
        <v>172</v>
      </c>
    </row>
    <row r="2" spans="1:8">
      <c r="A2" s="6" t="s">
        <v>176</v>
      </c>
      <c r="B2" s="20">
        <v>2827.74</v>
      </c>
      <c r="C2" s="20">
        <v>35421.57</v>
      </c>
      <c r="D2" s="20">
        <v>7.5070030286028072E-2</v>
      </c>
    </row>
    <row r="3" spans="1:8">
      <c r="A3" s="6" t="s">
        <v>177</v>
      </c>
      <c r="B3" s="20">
        <v>3147.63</v>
      </c>
      <c r="C3" s="20">
        <v>30020.769999999997</v>
      </c>
      <c r="D3" s="20">
        <v>0.11174170283616441</v>
      </c>
    </row>
    <row r="4" spans="1:8">
      <c r="A4" s="6" t="s">
        <v>178</v>
      </c>
      <c r="B4" s="20">
        <v>5594.54</v>
      </c>
      <c r="C4" s="20">
        <v>49122.780000000006</v>
      </c>
      <c r="D4" s="20">
        <v>0.10512103581505489</v>
      </c>
    </row>
    <row r="5" spans="1:8">
      <c r="A5" s="6" t="s">
        <v>179</v>
      </c>
      <c r="B5" s="20">
        <v>3689.8300000000004</v>
      </c>
      <c r="C5" s="20">
        <v>27313.01</v>
      </c>
      <c r="D5" s="20">
        <v>0.13835311541204126</v>
      </c>
    </row>
    <row r="6" spans="1:8">
      <c r="A6" s="6" t="s">
        <v>180</v>
      </c>
      <c r="B6" s="20">
        <v>5686.93</v>
      </c>
      <c r="C6" s="20">
        <v>54606.16</v>
      </c>
      <c r="D6" s="20">
        <v>9.7308144032719326E-2</v>
      </c>
    </row>
    <row r="7" spans="1:8">
      <c r="A7" s="6" t="s">
        <v>181</v>
      </c>
      <c r="B7" s="20">
        <v>3931.3300000000004</v>
      </c>
      <c r="C7" s="20">
        <v>40268.050000000003</v>
      </c>
      <c r="D7" s="20">
        <v>0.11598204152384016</v>
      </c>
    </row>
    <row r="8" spans="1:8">
      <c r="A8" s="6" t="s">
        <v>182</v>
      </c>
      <c r="B8" s="20">
        <v>3866.67</v>
      </c>
      <c r="C8" s="20">
        <v>29346.110000000008</v>
      </c>
      <c r="D8" s="20">
        <v>0.15445340032979782</v>
      </c>
    </row>
    <row r="9" spans="1:8">
      <c r="A9" s="6" t="s">
        <v>183</v>
      </c>
      <c r="B9" s="20">
        <v>4108.3399999999992</v>
      </c>
      <c r="C9" s="20">
        <v>42197.369999999995</v>
      </c>
      <c r="D9" s="20">
        <v>9.9677941636926615E-2</v>
      </c>
    </row>
    <row r="10" spans="1:8">
      <c r="A10" s="6" t="s">
        <v>184</v>
      </c>
      <c r="B10" s="20">
        <v>2789.9</v>
      </c>
      <c r="C10" s="20">
        <v>24264.78</v>
      </c>
      <c r="D10" s="20">
        <v>0.11517075288692917</v>
      </c>
    </row>
    <row r="11" spans="1:8">
      <c r="A11" s="6" t="s">
        <v>185</v>
      </c>
      <c r="B11" s="20">
        <v>2485.5200000000004</v>
      </c>
      <c r="C11" s="20">
        <v>35730.28</v>
      </c>
      <c r="D11" s="20">
        <v>8.1764248684946181E-2</v>
      </c>
    </row>
    <row r="12" spans="1:8">
      <c r="A12" s="6" t="s">
        <v>186</v>
      </c>
      <c r="B12" s="20">
        <v>3767.75</v>
      </c>
      <c r="C12" s="20">
        <v>45863.579999999994</v>
      </c>
      <c r="D12" s="20">
        <v>0.10027663665622194</v>
      </c>
    </row>
    <row r="13" spans="1:8">
      <c r="A13" s="6" t="s">
        <v>187</v>
      </c>
      <c r="B13" s="20">
        <v>3980.35</v>
      </c>
      <c r="C13" s="20">
        <v>32867.150000000009</v>
      </c>
      <c r="D13" s="20">
        <v>9.6448429546799788E-2</v>
      </c>
    </row>
    <row r="14" spans="1:8">
      <c r="A14" s="6" t="s">
        <v>174</v>
      </c>
      <c r="B14" s="20">
        <v>45876.529999999977</v>
      </c>
      <c r="C14" s="20">
        <v>447021.60999999969</v>
      </c>
      <c r="D14" s="20">
        <v>0.10601398542275384</v>
      </c>
    </row>
    <row r="15" spans="1:8" ht="15" thickBot="1"/>
    <row r="16" spans="1:8">
      <c r="A16" s="10"/>
      <c r="B16" s="11"/>
      <c r="C16" s="11"/>
      <c r="D16" s="11"/>
      <c r="E16" s="11"/>
      <c r="F16" s="11"/>
      <c r="G16" s="11"/>
      <c r="H16" s="12"/>
    </row>
    <row r="17" spans="1:8">
      <c r="A17" s="13"/>
      <c r="B17" s="21"/>
      <c r="C17" s="21"/>
      <c r="D17" s="21"/>
      <c r="E17" s="21"/>
      <c r="F17" s="21"/>
      <c r="G17" s="21"/>
      <c r="H17" s="14"/>
    </row>
    <row r="18" spans="1:8">
      <c r="A18" s="13"/>
      <c r="B18" s="21"/>
      <c r="C18" s="21"/>
      <c r="D18" s="21"/>
      <c r="E18" s="21"/>
      <c r="F18" s="21"/>
      <c r="G18" s="21"/>
      <c r="H18" s="14"/>
    </row>
    <row r="19" spans="1:8">
      <c r="A19" s="13"/>
      <c r="B19" s="21"/>
      <c r="C19" s="21"/>
      <c r="D19" s="21"/>
      <c r="E19" s="21"/>
      <c r="F19" s="21"/>
      <c r="G19" s="21"/>
      <c r="H19" s="14"/>
    </row>
    <row r="20" spans="1:8">
      <c r="A20" s="13"/>
      <c r="B20" s="21"/>
      <c r="C20" s="21"/>
      <c r="D20" s="21"/>
      <c r="E20" s="21"/>
      <c r="F20" s="21"/>
      <c r="G20" s="21"/>
      <c r="H20" s="14"/>
    </row>
    <row r="21" spans="1:8">
      <c r="A21" s="13"/>
      <c r="B21" s="21"/>
      <c r="C21" s="21"/>
      <c r="D21" s="21"/>
      <c r="E21" s="21"/>
      <c r="F21" s="21"/>
      <c r="G21" s="21"/>
      <c r="H21" s="14"/>
    </row>
    <row r="22" spans="1:8" ht="15" thickBot="1">
      <c r="A22" s="15"/>
      <c r="B22" s="16"/>
      <c r="C22" s="16"/>
      <c r="D22" s="16"/>
      <c r="E22" s="16"/>
      <c r="F22" s="16"/>
      <c r="G22" s="16"/>
      <c r="H22" s="17"/>
    </row>
  </sheetData>
  <mergeCells count="1">
    <mergeCell ref="A16:H22"/>
  </mergeCell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1"/>
  <sheetViews>
    <sheetView workbookViewId="0">
      <selection activeCell="M3" sqref="M3"/>
    </sheetView>
  </sheetViews>
  <sheetFormatPr defaultRowHeight="14.5"/>
  <cols>
    <col min="1" max="1" width="14.26953125" customWidth="1"/>
    <col min="2" max="2" width="10.7265625" customWidth="1"/>
    <col min="3" max="3" width="11.7265625" customWidth="1"/>
    <col min="4" max="4" width="12.6328125" customWidth="1"/>
    <col min="5" max="5" width="14.36328125" customWidth="1"/>
    <col min="6" max="6" width="12.90625" customWidth="1"/>
    <col min="7" max="7" width="9.36328125" customWidth="1"/>
    <col min="8" max="8" width="9.81640625" customWidth="1"/>
    <col min="9" max="9" width="13" style="2" customWidth="1"/>
    <col min="10" max="10" width="12.6328125" customWidth="1"/>
    <col min="11" max="11" width="12.1796875" style="2" customWidth="1"/>
    <col min="12" max="12" width="17.54296875" customWidth="1"/>
    <col min="13" max="13" width="15.6328125" customWidth="1"/>
  </cols>
  <sheetData>
    <row r="1" spans="1:13">
      <c r="A1" s="1" t="s">
        <v>0</v>
      </c>
      <c r="B1" s="1" t="s">
        <v>175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8" t="s">
        <v>7</v>
      </c>
      <c r="J1" s="1" t="s">
        <v>8</v>
      </c>
      <c r="K1" s="18" t="s">
        <v>9</v>
      </c>
      <c r="L1" s="18" t="s">
        <v>188</v>
      </c>
      <c r="M1" s="19" t="s">
        <v>189</v>
      </c>
    </row>
    <row r="2" spans="1:13">
      <c r="A2" t="s">
        <v>10</v>
      </c>
      <c r="B2" t="str">
        <f t="shared" ref="B2:B33" si="0">TEXT(A2,"mmm")</f>
        <v>Mar</v>
      </c>
      <c r="C2" t="s">
        <v>151</v>
      </c>
      <c r="D2" t="s">
        <v>155</v>
      </c>
      <c r="E2" t="s">
        <v>158</v>
      </c>
      <c r="F2" t="s">
        <v>161</v>
      </c>
      <c r="G2">
        <v>645.52</v>
      </c>
      <c r="H2">
        <v>63.89</v>
      </c>
      <c r="I2" s="2">
        <v>0.1</v>
      </c>
      <c r="J2">
        <v>9</v>
      </c>
      <c r="K2" s="2">
        <f>Table1[[#This Row],[Profit]]/Table1[[#This Row],[Sales]]</f>
        <v>9.8974470194571826E-2</v>
      </c>
      <c r="L2" s="2" t="str">
        <f>IF(I2&lt;=0.05,"Low Discount",
IF(I2&lt;=0.15,"Medium Discount",
"High Discount"))</f>
        <v>Medium Discount</v>
      </c>
      <c r="M2" s="2" t="str">
        <f t="shared" ref="M2:M33" si="1">IF(H2&lt;0,"Loss-Making",
IF(H2&lt;100,"Low Profit",
"High Profit"))</f>
        <v>Low Profit</v>
      </c>
    </row>
    <row r="3" spans="1:13">
      <c r="A3" t="s">
        <v>11</v>
      </c>
      <c r="B3" t="str">
        <f t="shared" si="0"/>
        <v>Apr</v>
      </c>
      <c r="C3" t="s">
        <v>152</v>
      </c>
      <c r="D3" t="s">
        <v>155</v>
      </c>
      <c r="E3" t="s">
        <v>159</v>
      </c>
      <c r="F3" t="s">
        <v>162</v>
      </c>
      <c r="G3">
        <v>2993.41</v>
      </c>
      <c r="H3">
        <v>167.51</v>
      </c>
      <c r="I3" s="2">
        <v>0</v>
      </c>
      <c r="J3">
        <v>10</v>
      </c>
      <c r="K3" s="2">
        <f>Table1[[#This Row],[Profit]]/Table1[[#This Row],[Sales]]</f>
        <v>5.5959591235413789E-2</v>
      </c>
      <c r="L3" s="2" t="str">
        <f t="shared" ref="L3:L33" si="2">IF(I3&lt;=0.05,"Low Discount",
IF(I3&lt;=0.15,"Medium Discount",
"High Discount"))</f>
        <v>Low Discount</v>
      </c>
      <c r="M3" s="2" t="str">
        <f t="shared" si="1"/>
        <v>High Profit</v>
      </c>
    </row>
    <row r="4" spans="1:13">
      <c r="A4" t="s">
        <v>12</v>
      </c>
      <c r="B4" t="str">
        <f t="shared" si="0"/>
        <v>May</v>
      </c>
      <c r="C4" t="s">
        <v>151</v>
      </c>
      <c r="D4" t="s">
        <v>156</v>
      </c>
      <c r="E4" t="s">
        <v>159</v>
      </c>
      <c r="F4" t="s">
        <v>162</v>
      </c>
      <c r="G4">
        <v>2850.1</v>
      </c>
      <c r="H4">
        <v>111.11</v>
      </c>
      <c r="I4" s="2">
        <v>0.2</v>
      </c>
      <c r="J4">
        <v>7</v>
      </c>
      <c r="K4" s="2">
        <f>Table1[[#This Row],[Profit]]/Table1[[#This Row],[Sales]]</f>
        <v>3.8984597031683096E-2</v>
      </c>
      <c r="L4" s="2" t="str">
        <f t="shared" si="2"/>
        <v>High Discount</v>
      </c>
      <c r="M4" s="2" t="str">
        <f t="shared" si="1"/>
        <v>High Profit</v>
      </c>
    </row>
    <row r="5" spans="1:13">
      <c r="A5" t="s">
        <v>13</v>
      </c>
      <c r="B5" t="str">
        <f t="shared" si="0"/>
        <v>Jun</v>
      </c>
      <c r="C5" t="s">
        <v>151</v>
      </c>
      <c r="D5" t="s">
        <v>156</v>
      </c>
      <c r="E5" t="s">
        <v>160</v>
      </c>
      <c r="F5" t="s">
        <v>163</v>
      </c>
      <c r="G5">
        <v>1461.57</v>
      </c>
      <c r="H5">
        <v>352.89</v>
      </c>
      <c r="I5" s="2">
        <v>0.05</v>
      </c>
      <c r="J5">
        <v>7</v>
      </c>
      <c r="K5" s="2">
        <f>Table1[[#This Row],[Profit]]/Table1[[#This Row],[Sales]]</f>
        <v>0.24144584248445164</v>
      </c>
      <c r="L5" s="2" t="str">
        <f t="shared" si="2"/>
        <v>Low Discount</v>
      </c>
      <c r="M5" s="2" t="str">
        <f t="shared" si="1"/>
        <v>High Profit</v>
      </c>
    </row>
    <row r="6" spans="1:13">
      <c r="A6" t="s">
        <v>14</v>
      </c>
      <c r="B6" t="str">
        <f t="shared" si="0"/>
        <v>Jan</v>
      </c>
      <c r="C6" t="s">
        <v>153</v>
      </c>
      <c r="D6" t="s">
        <v>155</v>
      </c>
      <c r="E6" t="s">
        <v>159</v>
      </c>
      <c r="F6" t="s">
        <v>162</v>
      </c>
      <c r="G6">
        <v>1859</v>
      </c>
      <c r="H6">
        <v>317.42</v>
      </c>
      <c r="I6" s="2">
        <v>0.1</v>
      </c>
      <c r="J6">
        <v>2</v>
      </c>
      <c r="K6" s="2">
        <f>Table1[[#This Row],[Profit]]/Table1[[#This Row],[Sales]]</f>
        <v>0.17074771382463691</v>
      </c>
      <c r="L6" s="2" t="str">
        <f t="shared" si="2"/>
        <v>Medium Discount</v>
      </c>
      <c r="M6" s="2" t="str">
        <f t="shared" si="1"/>
        <v>High Profit</v>
      </c>
    </row>
    <row r="7" spans="1:13">
      <c r="A7" t="s">
        <v>15</v>
      </c>
      <c r="B7" t="str">
        <f t="shared" si="0"/>
        <v>Nov</v>
      </c>
      <c r="C7" t="s">
        <v>154</v>
      </c>
      <c r="D7" t="s">
        <v>155</v>
      </c>
      <c r="E7" t="s">
        <v>160</v>
      </c>
      <c r="F7" t="s">
        <v>164</v>
      </c>
      <c r="G7">
        <v>486.12</v>
      </c>
      <c r="H7">
        <v>104.94</v>
      </c>
      <c r="I7" s="2">
        <v>0.1</v>
      </c>
      <c r="J7">
        <v>4</v>
      </c>
      <c r="K7" s="2">
        <f>Table1[[#This Row],[Profit]]/Table1[[#This Row],[Sales]]</f>
        <v>0.21587262404344607</v>
      </c>
      <c r="L7" s="2" t="str">
        <f t="shared" si="2"/>
        <v>Medium Discount</v>
      </c>
      <c r="M7" s="2" t="str">
        <f t="shared" si="1"/>
        <v>High Profit</v>
      </c>
    </row>
    <row r="8" spans="1:13">
      <c r="A8" t="s">
        <v>16</v>
      </c>
      <c r="B8" t="str">
        <f t="shared" si="0"/>
        <v>Feb</v>
      </c>
      <c r="C8" t="s">
        <v>152</v>
      </c>
      <c r="D8" t="s">
        <v>156</v>
      </c>
      <c r="E8" t="s">
        <v>158</v>
      </c>
      <c r="F8" t="s">
        <v>161</v>
      </c>
      <c r="G8">
        <v>440.82</v>
      </c>
      <c r="H8">
        <v>90.2</v>
      </c>
      <c r="I8" s="2">
        <v>0.05</v>
      </c>
      <c r="J8">
        <v>7</v>
      </c>
      <c r="K8" s="2">
        <f>Table1[[#This Row],[Profit]]/Table1[[#This Row],[Sales]]</f>
        <v>0.20461866521482691</v>
      </c>
      <c r="L8" s="2" t="str">
        <f t="shared" si="2"/>
        <v>Low Discount</v>
      </c>
      <c r="M8" s="2" t="str">
        <f t="shared" si="1"/>
        <v>Low Profit</v>
      </c>
    </row>
    <row r="9" spans="1:13">
      <c r="A9" t="s">
        <v>17</v>
      </c>
      <c r="B9" t="str">
        <f t="shared" si="0"/>
        <v>Jul</v>
      </c>
      <c r="C9" t="s">
        <v>152</v>
      </c>
      <c r="D9" t="s">
        <v>155</v>
      </c>
      <c r="E9" t="s">
        <v>160</v>
      </c>
      <c r="F9" t="s">
        <v>163</v>
      </c>
      <c r="G9">
        <v>2321.71</v>
      </c>
      <c r="H9">
        <v>191.61</v>
      </c>
      <c r="I9" s="2">
        <v>0.1</v>
      </c>
      <c r="J9">
        <v>5</v>
      </c>
      <c r="K9" s="2">
        <f>Table1[[#This Row],[Profit]]/Table1[[#This Row],[Sales]]</f>
        <v>8.2529687170232291E-2</v>
      </c>
      <c r="L9" s="2" t="str">
        <f t="shared" si="2"/>
        <v>Medium Discount</v>
      </c>
      <c r="M9" s="2" t="str">
        <f t="shared" si="1"/>
        <v>High Profit</v>
      </c>
    </row>
    <row r="10" spans="1:13">
      <c r="A10" t="s">
        <v>18</v>
      </c>
      <c r="B10" t="str">
        <f t="shared" si="0"/>
        <v>Mar</v>
      </c>
      <c r="C10" t="s">
        <v>152</v>
      </c>
      <c r="D10" t="s">
        <v>156</v>
      </c>
      <c r="E10" t="s">
        <v>158</v>
      </c>
      <c r="F10" t="s">
        <v>161</v>
      </c>
      <c r="G10">
        <v>4689.6099999999997</v>
      </c>
      <c r="H10">
        <v>805.8</v>
      </c>
      <c r="I10" s="2">
        <v>0</v>
      </c>
      <c r="J10">
        <v>8</v>
      </c>
      <c r="K10" s="2">
        <f>Table1[[#This Row],[Profit]]/Table1[[#This Row],[Sales]]</f>
        <v>0.17182665509498657</v>
      </c>
      <c r="L10" s="2" t="str">
        <f t="shared" si="2"/>
        <v>Low Discount</v>
      </c>
      <c r="M10" s="2" t="str">
        <f t="shared" si="1"/>
        <v>High Profit</v>
      </c>
    </row>
    <row r="11" spans="1:13">
      <c r="A11" t="s">
        <v>19</v>
      </c>
      <c r="B11" t="str">
        <f t="shared" si="0"/>
        <v>Jan</v>
      </c>
      <c r="C11" t="s">
        <v>152</v>
      </c>
      <c r="D11" t="s">
        <v>156</v>
      </c>
      <c r="E11" t="s">
        <v>160</v>
      </c>
      <c r="F11" t="s">
        <v>164</v>
      </c>
      <c r="G11">
        <v>1422.74</v>
      </c>
      <c r="H11">
        <v>16.350000000000001</v>
      </c>
      <c r="I11" s="2">
        <v>0.2</v>
      </c>
      <c r="J11">
        <v>6</v>
      </c>
      <c r="K11" s="2">
        <f>Table1[[#This Row],[Profit]]/Table1[[#This Row],[Sales]]</f>
        <v>1.1491909976524172E-2</v>
      </c>
      <c r="L11" s="2" t="str">
        <f t="shared" si="2"/>
        <v>High Discount</v>
      </c>
      <c r="M11" s="2" t="str">
        <f t="shared" si="1"/>
        <v>Low Profit</v>
      </c>
    </row>
    <row r="12" spans="1:13">
      <c r="A12" t="s">
        <v>20</v>
      </c>
      <c r="B12" t="str">
        <f t="shared" si="0"/>
        <v>Oct</v>
      </c>
      <c r="C12" t="s">
        <v>154</v>
      </c>
      <c r="D12" t="s">
        <v>156</v>
      </c>
      <c r="E12" t="s">
        <v>160</v>
      </c>
      <c r="F12" t="s">
        <v>164</v>
      </c>
      <c r="G12">
        <v>1411.93</v>
      </c>
      <c r="H12">
        <v>328.45</v>
      </c>
      <c r="I12" s="2">
        <v>0.05</v>
      </c>
      <c r="J12">
        <v>8</v>
      </c>
      <c r="K12" s="2">
        <f>Table1[[#This Row],[Profit]]/Table1[[#This Row],[Sales]]</f>
        <v>0.23262484684084903</v>
      </c>
      <c r="L12" s="2" t="str">
        <f t="shared" si="2"/>
        <v>Low Discount</v>
      </c>
      <c r="M12" s="2" t="str">
        <f t="shared" si="1"/>
        <v>High Profit</v>
      </c>
    </row>
    <row r="13" spans="1:13">
      <c r="A13" t="s">
        <v>21</v>
      </c>
      <c r="B13" t="str">
        <f t="shared" si="0"/>
        <v>Oct</v>
      </c>
      <c r="C13" t="s">
        <v>154</v>
      </c>
      <c r="D13" t="s">
        <v>155</v>
      </c>
      <c r="E13" t="s">
        <v>160</v>
      </c>
      <c r="F13" t="s">
        <v>164</v>
      </c>
      <c r="G13">
        <v>4434.95</v>
      </c>
      <c r="H13">
        <v>64.8</v>
      </c>
      <c r="I13" s="2">
        <v>0.15</v>
      </c>
      <c r="J13">
        <v>10</v>
      </c>
      <c r="K13" s="2">
        <f>Table1[[#This Row],[Profit]]/Table1[[#This Row],[Sales]]</f>
        <v>1.4611213204207487E-2</v>
      </c>
      <c r="L13" s="2" t="str">
        <f t="shared" si="2"/>
        <v>Medium Discount</v>
      </c>
      <c r="M13" s="2" t="str">
        <f t="shared" si="1"/>
        <v>Low Profit</v>
      </c>
    </row>
    <row r="14" spans="1:13">
      <c r="A14" t="s">
        <v>22</v>
      </c>
      <c r="B14" t="str">
        <f t="shared" si="0"/>
        <v>Mar</v>
      </c>
      <c r="C14" t="s">
        <v>153</v>
      </c>
      <c r="D14" t="s">
        <v>156</v>
      </c>
      <c r="E14" t="s">
        <v>160</v>
      </c>
      <c r="F14" t="s">
        <v>164</v>
      </c>
      <c r="G14">
        <v>4499.33</v>
      </c>
      <c r="H14">
        <v>-122.98</v>
      </c>
      <c r="I14" s="2">
        <v>0.15</v>
      </c>
      <c r="J14">
        <v>1</v>
      </c>
      <c r="K14" s="2">
        <f>Table1[[#This Row],[Profit]]/Table1[[#This Row],[Sales]]</f>
        <v>-2.7332958462704449E-2</v>
      </c>
      <c r="L14" s="2" t="str">
        <f t="shared" si="2"/>
        <v>Medium Discount</v>
      </c>
      <c r="M14" s="2" t="str">
        <f t="shared" si="1"/>
        <v>Loss-Making</v>
      </c>
    </row>
    <row r="15" spans="1:13">
      <c r="A15" t="s">
        <v>23</v>
      </c>
      <c r="B15" t="str">
        <f t="shared" si="0"/>
        <v>Aug</v>
      </c>
      <c r="C15" t="s">
        <v>151</v>
      </c>
      <c r="D15" t="s">
        <v>157</v>
      </c>
      <c r="E15" t="s">
        <v>159</v>
      </c>
      <c r="F15" t="s">
        <v>162</v>
      </c>
      <c r="G15">
        <v>848.92</v>
      </c>
      <c r="H15">
        <v>176.93</v>
      </c>
      <c r="I15" s="2">
        <v>0.05</v>
      </c>
      <c r="J15">
        <v>7</v>
      </c>
      <c r="K15" s="2">
        <f>Table1[[#This Row],[Profit]]/Table1[[#This Row],[Sales]]</f>
        <v>0.20841775432314</v>
      </c>
      <c r="L15" s="2" t="str">
        <f t="shared" si="2"/>
        <v>Low Discount</v>
      </c>
      <c r="M15" s="2" t="str">
        <f t="shared" si="1"/>
        <v>High Profit</v>
      </c>
    </row>
    <row r="16" spans="1:13">
      <c r="A16" t="s">
        <v>24</v>
      </c>
      <c r="B16" t="str">
        <f t="shared" si="0"/>
        <v>Jan</v>
      </c>
      <c r="C16" t="s">
        <v>151</v>
      </c>
      <c r="D16" t="s">
        <v>155</v>
      </c>
      <c r="E16" t="s">
        <v>158</v>
      </c>
      <c r="F16" t="s">
        <v>165</v>
      </c>
      <c r="G16">
        <v>4980.99</v>
      </c>
      <c r="H16">
        <v>-25.1</v>
      </c>
      <c r="I16" s="2">
        <v>0.2</v>
      </c>
      <c r="J16">
        <v>9</v>
      </c>
      <c r="K16" s="2">
        <f>Table1[[#This Row],[Profit]]/Table1[[#This Row],[Sales]]</f>
        <v>-5.0391588820696293E-3</v>
      </c>
      <c r="L16" s="2" t="str">
        <f t="shared" si="2"/>
        <v>High Discount</v>
      </c>
      <c r="M16" s="2" t="str">
        <f t="shared" si="1"/>
        <v>Loss-Making</v>
      </c>
    </row>
    <row r="17" spans="1:13">
      <c r="A17" t="s">
        <v>25</v>
      </c>
      <c r="B17" t="str">
        <f t="shared" si="0"/>
        <v>Aug</v>
      </c>
      <c r="C17" t="s">
        <v>152</v>
      </c>
      <c r="D17" t="s">
        <v>157</v>
      </c>
      <c r="E17" t="s">
        <v>160</v>
      </c>
      <c r="F17" t="s">
        <v>163</v>
      </c>
      <c r="G17">
        <v>3866.13</v>
      </c>
      <c r="H17">
        <v>279.56</v>
      </c>
      <c r="I17" s="2">
        <v>0.1</v>
      </c>
      <c r="J17">
        <v>1</v>
      </c>
      <c r="K17" s="2">
        <f>Table1[[#This Row],[Profit]]/Table1[[#This Row],[Sales]]</f>
        <v>7.2310036134325545E-2</v>
      </c>
      <c r="L17" s="2" t="str">
        <f t="shared" si="2"/>
        <v>Medium Discount</v>
      </c>
      <c r="M17" s="2" t="str">
        <f t="shared" si="1"/>
        <v>High Profit</v>
      </c>
    </row>
    <row r="18" spans="1:13">
      <c r="A18" t="s">
        <v>26</v>
      </c>
      <c r="B18" t="str">
        <f t="shared" si="0"/>
        <v>Apr</v>
      </c>
      <c r="C18" t="s">
        <v>151</v>
      </c>
      <c r="D18" t="s">
        <v>155</v>
      </c>
      <c r="E18" t="s">
        <v>158</v>
      </c>
      <c r="F18" t="s">
        <v>161</v>
      </c>
      <c r="G18">
        <v>4391.68</v>
      </c>
      <c r="H18">
        <v>1073.23</v>
      </c>
      <c r="I18" s="2">
        <v>0.1</v>
      </c>
      <c r="J18">
        <v>5</v>
      </c>
      <c r="K18" s="2">
        <f>Table1[[#This Row],[Profit]]/Table1[[#This Row],[Sales]]</f>
        <v>0.2443780056834742</v>
      </c>
      <c r="L18" s="2" t="str">
        <f t="shared" si="2"/>
        <v>Medium Discount</v>
      </c>
      <c r="M18" s="2" t="str">
        <f t="shared" si="1"/>
        <v>High Profit</v>
      </c>
    </row>
    <row r="19" spans="1:13">
      <c r="A19" t="s">
        <v>27</v>
      </c>
      <c r="B19" t="str">
        <f t="shared" si="0"/>
        <v>Mar</v>
      </c>
      <c r="C19" t="s">
        <v>151</v>
      </c>
      <c r="D19" t="s">
        <v>155</v>
      </c>
      <c r="E19" t="s">
        <v>158</v>
      </c>
      <c r="F19" t="s">
        <v>161</v>
      </c>
      <c r="G19">
        <v>2587.5500000000002</v>
      </c>
      <c r="H19">
        <v>208.47</v>
      </c>
      <c r="I19" s="2">
        <v>0.05</v>
      </c>
      <c r="J19">
        <v>6</v>
      </c>
      <c r="K19" s="2">
        <f>Table1[[#This Row],[Profit]]/Table1[[#This Row],[Sales]]</f>
        <v>8.0566559100307231E-2</v>
      </c>
      <c r="L19" s="2" t="str">
        <f t="shared" si="2"/>
        <v>Low Discount</v>
      </c>
      <c r="M19" s="2" t="str">
        <f t="shared" si="1"/>
        <v>High Profit</v>
      </c>
    </row>
    <row r="20" spans="1:13">
      <c r="A20" t="s">
        <v>28</v>
      </c>
      <c r="B20" t="str">
        <f t="shared" si="0"/>
        <v>Jun</v>
      </c>
      <c r="C20" t="s">
        <v>152</v>
      </c>
      <c r="D20" t="s">
        <v>156</v>
      </c>
      <c r="E20" t="s">
        <v>160</v>
      </c>
      <c r="F20" t="s">
        <v>164</v>
      </c>
      <c r="G20">
        <v>195.44</v>
      </c>
      <c r="H20">
        <v>44.12</v>
      </c>
      <c r="I20" s="2">
        <v>0.1</v>
      </c>
      <c r="J20">
        <v>4</v>
      </c>
      <c r="K20" s="2">
        <f>Table1[[#This Row],[Profit]]/Table1[[#This Row],[Sales]]</f>
        <v>0.22574703233729021</v>
      </c>
      <c r="L20" s="2" t="str">
        <f t="shared" si="2"/>
        <v>Medium Discount</v>
      </c>
      <c r="M20" s="2" t="str">
        <f t="shared" si="1"/>
        <v>Low Profit</v>
      </c>
    </row>
    <row r="21" spans="1:13">
      <c r="A21" t="s">
        <v>29</v>
      </c>
      <c r="B21" t="str">
        <f t="shared" si="0"/>
        <v>Feb</v>
      </c>
      <c r="C21" t="s">
        <v>152</v>
      </c>
      <c r="D21" t="s">
        <v>156</v>
      </c>
      <c r="E21" t="s">
        <v>158</v>
      </c>
      <c r="F21" t="s">
        <v>165</v>
      </c>
      <c r="G21">
        <v>4740.05</v>
      </c>
      <c r="H21">
        <v>930.86</v>
      </c>
      <c r="I21" s="2">
        <v>0</v>
      </c>
      <c r="J21">
        <v>8</v>
      </c>
      <c r="K21" s="2">
        <f>Table1[[#This Row],[Profit]]/Table1[[#This Row],[Sales]]</f>
        <v>0.19638189470575204</v>
      </c>
      <c r="L21" s="2" t="str">
        <f t="shared" si="2"/>
        <v>Low Discount</v>
      </c>
      <c r="M21" s="2" t="str">
        <f t="shared" si="1"/>
        <v>High Profit</v>
      </c>
    </row>
    <row r="22" spans="1:13">
      <c r="A22" t="s">
        <v>30</v>
      </c>
      <c r="B22" t="str">
        <f t="shared" si="0"/>
        <v>Apr</v>
      </c>
      <c r="C22" t="s">
        <v>152</v>
      </c>
      <c r="D22" t="s">
        <v>155</v>
      </c>
      <c r="E22" t="s">
        <v>158</v>
      </c>
      <c r="F22" t="s">
        <v>165</v>
      </c>
      <c r="G22">
        <v>909.12</v>
      </c>
      <c r="H22">
        <v>120.16</v>
      </c>
      <c r="I22" s="2">
        <v>0.2</v>
      </c>
      <c r="J22">
        <v>5</v>
      </c>
      <c r="K22" s="2">
        <f>Table1[[#This Row],[Profit]]/Table1[[#This Row],[Sales]]</f>
        <v>0.13217177050334389</v>
      </c>
      <c r="L22" s="2" t="str">
        <f t="shared" si="2"/>
        <v>High Discount</v>
      </c>
      <c r="M22" s="2" t="str">
        <f t="shared" si="1"/>
        <v>High Profit</v>
      </c>
    </row>
    <row r="23" spans="1:13">
      <c r="A23" t="s">
        <v>31</v>
      </c>
      <c r="B23" t="str">
        <f t="shared" si="0"/>
        <v>Sep</v>
      </c>
      <c r="C23" t="s">
        <v>153</v>
      </c>
      <c r="D23" t="s">
        <v>156</v>
      </c>
      <c r="E23" t="s">
        <v>160</v>
      </c>
      <c r="F23" t="s">
        <v>164</v>
      </c>
      <c r="G23">
        <v>4976.2299999999996</v>
      </c>
      <c r="H23">
        <v>684.83</v>
      </c>
      <c r="I23" s="2">
        <v>0.1</v>
      </c>
      <c r="J23">
        <v>4</v>
      </c>
      <c r="K23" s="2">
        <f>Table1[[#This Row],[Profit]]/Table1[[#This Row],[Sales]]</f>
        <v>0.1376202466525864</v>
      </c>
      <c r="L23" s="2" t="str">
        <f t="shared" si="2"/>
        <v>Medium Discount</v>
      </c>
      <c r="M23" s="2" t="str">
        <f t="shared" si="1"/>
        <v>High Profit</v>
      </c>
    </row>
    <row r="24" spans="1:13">
      <c r="A24" t="s">
        <v>32</v>
      </c>
      <c r="B24" t="str">
        <f t="shared" si="0"/>
        <v>Apr</v>
      </c>
      <c r="C24" t="s">
        <v>152</v>
      </c>
      <c r="D24" t="s">
        <v>156</v>
      </c>
      <c r="E24" t="s">
        <v>159</v>
      </c>
      <c r="F24" t="s">
        <v>166</v>
      </c>
      <c r="G24">
        <v>413.73</v>
      </c>
      <c r="H24">
        <v>69.37</v>
      </c>
      <c r="I24" s="2">
        <v>0</v>
      </c>
      <c r="J24">
        <v>2</v>
      </c>
      <c r="K24" s="2">
        <f>Table1[[#This Row],[Profit]]/Table1[[#This Row],[Sales]]</f>
        <v>0.16766973630145265</v>
      </c>
      <c r="L24" s="2" t="str">
        <f t="shared" si="2"/>
        <v>Low Discount</v>
      </c>
      <c r="M24" s="2" t="str">
        <f t="shared" si="1"/>
        <v>Low Profit</v>
      </c>
    </row>
    <row r="25" spans="1:13">
      <c r="A25" t="s">
        <v>33</v>
      </c>
      <c r="B25" t="str">
        <f t="shared" si="0"/>
        <v>Jan</v>
      </c>
      <c r="C25" t="s">
        <v>154</v>
      </c>
      <c r="D25" t="s">
        <v>156</v>
      </c>
      <c r="E25" t="s">
        <v>158</v>
      </c>
      <c r="F25" t="s">
        <v>161</v>
      </c>
      <c r="G25">
        <v>3192.4</v>
      </c>
      <c r="H25">
        <v>202.65</v>
      </c>
      <c r="I25" s="2">
        <v>0.05</v>
      </c>
      <c r="J25">
        <v>9</v>
      </c>
      <c r="K25" s="2">
        <f>Table1[[#This Row],[Profit]]/Table1[[#This Row],[Sales]]</f>
        <v>6.3478887357474006E-2</v>
      </c>
      <c r="L25" s="2" t="str">
        <f t="shared" si="2"/>
        <v>Low Discount</v>
      </c>
      <c r="M25" s="2" t="str">
        <f t="shared" si="1"/>
        <v>High Profit</v>
      </c>
    </row>
    <row r="26" spans="1:13">
      <c r="A26" t="s">
        <v>34</v>
      </c>
      <c r="B26" t="str">
        <f t="shared" si="0"/>
        <v>Oct</v>
      </c>
      <c r="C26" t="s">
        <v>153</v>
      </c>
      <c r="D26" t="s">
        <v>156</v>
      </c>
      <c r="E26" t="s">
        <v>159</v>
      </c>
      <c r="F26" t="s">
        <v>166</v>
      </c>
      <c r="G26">
        <v>1464.54</v>
      </c>
      <c r="H26">
        <v>43.37</v>
      </c>
      <c r="I26" s="2">
        <v>0.15</v>
      </c>
      <c r="J26">
        <v>8</v>
      </c>
      <c r="K26" s="2">
        <f>Table1[[#This Row],[Profit]]/Table1[[#This Row],[Sales]]</f>
        <v>2.9613393966706269E-2</v>
      </c>
      <c r="L26" s="2" t="str">
        <f t="shared" si="2"/>
        <v>Medium Discount</v>
      </c>
      <c r="M26" s="2" t="str">
        <f t="shared" si="1"/>
        <v>Low Profit</v>
      </c>
    </row>
    <row r="27" spans="1:13">
      <c r="A27" t="s">
        <v>17</v>
      </c>
      <c r="B27" t="str">
        <f t="shared" si="0"/>
        <v>Jul</v>
      </c>
      <c r="C27" t="s">
        <v>153</v>
      </c>
      <c r="D27" t="s">
        <v>157</v>
      </c>
      <c r="E27" t="s">
        <v>160</v>
      </c>
      <c r="F27" t="s">
        <v>164</v>
      </c>
      <c r="G27">
        <v>1033.01</v>
      </c>
      <c r="H27">
        <v>187.8</v>
      </c>
      <c r="I27" s="2">
        <v>0</v>
      </c>
      <c r="J27">
        <v>8</v>
      </c>
      <c r="K27" s="2">
        <f>Table1[[#This Row],[Profit]]/Table1[[#This Row],[Sales]]</f>
        <v>0.18179882092138508</v>
      </c>
      <c r="L27" s="2" t="str">
        <f t="shared" si="2"/>
        <v>Low Discount</v>
      </c>
      <c r="M27" s="2" t="str">
        <f t="shared" si="1"/>
        <v>High Profit</v>
      </c>
    </row>
    <row r="28" spans="1:13">
      <c r="A28" t="s">
        <v>35</v>
      </c>
      <c r="B28" t="str">
        <f t="shared" si="0"/>
        <v>Jun</v>
      </c>
      <c r="C28" t="s">
        <v>151</v>
      </c>
      <c r="D28" t="s">
        <v>156</v>
      </c>
      <c r="E28" t="s">
        <v>158</v>
      </c>
      <c r="F28" t="s">
        <v>161</v>
      </c>
      <c r="G28">
        <v>365.44</v>
      </c>
      <c r="H28">
        <v>22.7</v>
      </c>
      <c r="I28" s="2">
        <v>0</v>
      </c>
      <c r="J28">
        <v>4</v>
      </c>
      <c r="K28" s="2">
        <f>Table1[[#This Row],[Profit]]/Table1[[#This Row],[Sales]]</f>
        <v>6.211690017513135E-2</v>
      </c>
      <c r="L28" s="2" t="str">
        <f t="shared" si="2"/>
        <v>Low Discount</v>
      </c>
      <c r="M28" s="2" t="str">
        <f t="shared" si="1"/>
        <v>Low Profit</v>
      </c>
    </row>
    <row r="29" spans="1:13">
      <c r="A29" t="s">
        <v>12</v>
      </c>
      <c r="B29" t="str">
        <f t="shared" si="0"/>
        <v>May</v>
      </c>
      <c r="C29" t="s">
        <v>153</v>
      </c>
      <c r="D29" t="s">
        <v>156</v>
      </c>
      <c r="E29" t="s">
        <v>159</v>
      </c>
      <c r="F29" t="s">
        <v>166</v>
      </c>
      <c r="G29">
        <v>2727.8</v>
      </c>
      <c r="H29">
        <v>366.55</v>
      </c>
      <c r="I29" s="2">
        <v>0.05</v>
      </c>
      <c r="J29">
        <v>2</v>
      </c>
      <c r="K29" s="2">
        <f>Table1[[#This Row],[Profit]]/Table1[[#This Row],[Sales]]</f>
        <v>0.13437568736710903</v>
      </c>
      <c r="L29" s="2" t="str">
        <f t="shared" si="2"/>
        <v>Low Discount</v>
      </c>
      <c r="M29" s="2" t="str">
        <f t="shared" si="1"/>
        <v>High Profit</v>
      </c>
    </row>
    <row r="30" spans="1:13">
      <c r="A30" t="s">
        <v>36</v>
      </c>
      <c r="B30" t="str">
        <f t="shared" si="0"/>
        <v>Oct</v>
      </c>
      <c r="C30" t="s">
        <v>151</v>
      </c>
      <c r="D30" t="s">
        <v>156</v>
      </c>
      <c r="E30" t="s">
        <v>160</v>
      </c>
      <c r="F30" t="s">
        <v>164</v>
      </c>
      <c r="G30">
        <v>4059.31</v>
      </c>
      <c r="H30">
        <v>-185.24</v>
      </c>
      <c r="I30" s="2">
        <v>0.2</v>
      </c>
      <c r="J30">
        <v>4</v>
      </c>
      <c r="K30" s="2">
        <f>Table1[[#This Row],[Profit]]/Table1[[#This Row],[Sales]]</f>
        <v>-4.5633371188699562E-2</v>
      </c>
      <c r="L30" s="2" t="str">
        <f t="shared" si="2"/>
        <v>High Discount</v>
      </c>
      <c r="M30" s="2" t="str">
        <f t="shared" si="1"/>
        <v>Loss-Making</v>
      </c>
    </row>
    <row r="31" spans="1:13">
      <c r="A31" t="s">
        <v>37</v>
      </c>
      <c r="B31" t="str">
        <f t="shared" si="0"/>
        <v>Jan</v>
      </c>
      <c r="C31" t="s">
        <v>152</v>
      </c>
      <c r="D31" t="s">
        <v>157</v>
      </c>
      <c r="E31" t="s">
        <v>159</v>
      </c>
      <c r="F31" t="s">
        <v>166</v>
      </c>
      <c r="G31">
        <v>2091.4299999999998</v>
      </c>
      <c r="H31">
        <v>5.53</v>
      </c>
      <c r="I31" s="2">
        <v>0.15</v>
      </c>
      <c r="J31">
        <v>1</v>
      </c>
      <c r="K31" s="2">
        <f>Table1[[#This Row],[Profit]]/Table1[[#This Row],[Sales]]</f>
        <v>2.6441238769645652E-3</v>
      </c>
      <c r="L31" s="2" t="str">
        <f t="shared" si="2"/>
        <v>Medium Discount</v>
      </c>
      <c r="M31" s="2" t="str">
        <f t="shared" si="1"/>
        <v>Low Profit</v>
      </c>
    </row>
    <row r="32" spans="1:13">
      <c r="A32" t="s">
        <v>38</v>
      </c>
      <c r="B32" t="str">
        <f t="shared" si="0"/>
        <v>Oct</v>
      </c>
      <c r="C32" t="s">
        <v>153</v>
      </c>
      <c r="D32" t="s">
        <v>156</v>
      </c>
      <c r="E32" t="s">
        <v>160</v>
      </c>
      <c r="F32" t="s">
        <v>164</v>
      </c>
      <c r="G32">
        <v>1399.49</v>
      </c>
      <c r="H32">
        <v>-17.649999999999999</v>
      </c>
      <c r="I32" s="2">
        <v>0.15</v>
      </c>
      <c r="J32">
        <v>4</v>
      </c>
      <c r="K32" s="2">
        <f>Table1[[#This Row],[Profit]]/Table1[[#This Row],[Sales]]</f>
        <v>-1.2611737132812667E-2</v>
      </c>
      <c r="L32" s="2" t="str">
        <f t="shared" si="2"/>
        <v>Medium Discount</v>
      </c>
      <c r="M32" s="2" t="str">
        <f t="shared" si="1"/>
        <v>Loss-Making</v>
      </c>
    </row>
    <row r="33" spans="1:13">
      <c r="A33" t="s">
        <v>39</v>
      </c>
      <c r="B33" t="str">
        <f t="shared" si="0"/>
        <v>Oct</v>
      </c>
      <c r="C33" t="s">
        <v>151</v>
      </c>
      <c r="D33" t="s">
        <v>155</v>
      </c>
      <c r="E33" t="s">
        <v>160</v>
      </c>
      <c r="F33" t="s">
        <v>163</v>
      </c>
      <c r="G33">
        <v>1166.73</v>
      </c>
      <c r="H33">
        <v>193.49</v>
      </c>
      <c r="I33" s="2">
        <v>0</v>
      </c>
      <c r="J33">
        <v>6</v>
      </c>
      <c r="K33" s="2">
        <f>Table1[[#This Row],[Profit]]/Table1[[#This Row],[Sales]]</f>
        <v>0.16583956870912722</v>
      </c>
      <c r="L33" s="2" t="str">
        <f t="shared" si="2"/>
        <v>Low Discount</v>
      </c>
      <c r="M33" s="2" t="str">
        <f t="shared" si="1"/>
        <v>High Profit</v>
      </c>
    </row>
    <row r="34" spans="1:13">
      <c r="A34" t="s">
        <v>40</v>
      </c>
      <c r="B34" t="str">
        <f t="shared" ref="B34:B65" si="3">TEXT(A34,"mmm")</f>
        <v>Mar</v>
      </c>
      <c r="C34" t="s">
        <v>151</v>
      </c>
      <c r="D34" t="s">
        <v>155</v>
      </c>
      <c r="E34" t="s">
        <v>159</v>
      </c>
      <c r="F34" t="s">
        <v>162</v>
      </c>
      <c r="G34">
        <v>345.7</v>
      </c>
      <c r="H34">
        <v>5.29</v>
      </c>
      <c r="I34" s="2">
        <v>0.15</v>
      </c>
      <c r="J34">
        <v>2</v>
      </c>
      <c r="K34" s="2">
        <f>Table1[[#This Row],[Profit]]/Table1[[#This Row],[Sales]]</f>
        <v>1.5302285218397455E-2</v>
      </c>
      <c r="L34" s="2" t="str">
        <f t="shared" ref="L34:L65" si="4">IF(I34&lt;=0.05,"Low Discount",
IF(I34&lt;=0.15,"Medium Discount",
"High Discount"))</f>
        <v>Medium Discount</v>
      </c>
      <c r="M34" s="2" t="str">
        <f t="shared" ref="M34:M65" si="5">IF(H34&lt;0,"Loss-Making",
IF(H34&lt;100,"Low Profit",
"High Profit"))</f>
        <v>Low Profit</v>
      </c>
    </row>
    <row r="35" spans="1:13">
      <c r="A35" t="s">
        <v>41</v>
      </c>
      <c r="B35" t="str">
        <f t="shared" si="3"/>
        <v>May</v>
      </c>
      <c r="C35" t="s">
        <v>153</v>
      </c>
      <c r="D35" t="s">
        <v>156</v>
      </c>
      <c r="E35" t="s">
        <v>159</v>
      </c>
      <c r="F35" t="s">
        <v>166</v>
      </c>
      <c r="G35">
        <v>435.75</v>
      </c>
      <c r="H35">
        <v>80.63</v>
      </c>
      <c r="I35" s="2">
        <v>0</v>
      </c>
      <c r="J35">
        <v>10</v>
      </c>
      <c r="K35" s="2">
        <f>Table1[[#This Row],[Profit]]/Table1[[#This Row],[Sales]]</f>
        <v>0.18503729202524383</v>
      </c>
      <c r="L35" s="2" t="str">
        <f t="shared" si="4"/>
        <v>Low Discount</v>
      </c>
      <c r="M35" s="2" t="str">
        <f t="shared" si="5"/>
        <v>Low Profit</v>
      </c>
    </row>
    <row r="36" spans="1:13">
      <c r="A36" t="s">
        <v>42</v>
      </c>
      <c r="B36" t="str">
        <f t="shared" si="3"/>
        <v>Aug</v>
      </c>
      <c r="C36" t="s">
        <v>154</v>
      </c>
      <c r="D36" t="s">
        <v>157</v>
      </c>
      <c r="E36" t="s">
        <v>159</v>
      </c>
      <c r="F36" t="s">
        <v>166</v>
      </c>
      <c r="G36">
        <v>2936.7</v>
      </c>
      <c r="H36">
        <v>510.62</v>
      </c>
      <c r="I36" s="2">
        <v>0</v>
      </c>
      <c r="J36">
        <v>4</v>
      </c>
      <c r="K36" s="2">
        <f>Table1[[#This Row],[Profit]]/Table1[[#This Row],[Sales]]</f>
        <v>0.1738754384172711</v>
      </c>
      <c r="L36" s="2" t="str">
        <f t="shared" si="4"/>
        <v>Low Discount</v>
      </c>
      <c r="M36" s="2" t="str">
        <f t="shared" si="5"/>
        <v>High Profit</v>
      </c>
    </row>
    <row r="37" spans="1:13">
      <c r="A37" t="s">
        <v>43</v>
      </c>
      <c r="B37" t="str">
        <f t="shared" si="3"/>
        <v>Mar</v>
      </c>
      <c r="C37" t="s">
        <v>154</v>
      </c>
      <c r="D37" t="s">
        <v>157</v>
      </c>
      <c r="E37" t="s">
        <v>158</v>
      </c>
      <c r="F37" t="s">
        <v>161</v>
      </c>
      <c r="G37">
        <v>3609.34</v>
      </c>
      <c r="H37">
        <v>372.21</v>
      </c>
      <c r="I37" s="2">
        <v>0.05</v>
      </c>
      <c r="J37">
        <v>6</v>
      </c>
      <c r="K37" s="2">
        <f>Table1[[#This Row],[Profit]]/Table1[[#This Row],[Sales]]</f>
        <v>0.10312411687455324</v>
      </c>
      <c r="L37" s="2" t="str">
        <f t="shared" si="4"/>
        <v>Low Discount</v>
      </c>
      <c r="M37" s="2" t="str">
        <f t="shared" si="5"/>
        <v>High Profit</v>
      </c>
    </row>
    <row r="38" spans="1:13">
      <c r="A38" t="s">
        <v>44</v>
      </c>
      <c r="B38" t="str">
        <f t="shared" si="3"/>
        <v>Feb</v>
      </c>
      <c r="C38" t="s">
        <v>152</v>
      </c>
      <c r="D38" t="s">
        <v>155</v>
      </c>
      <c r="E38" t="s">
        <v>159</v>
      </c>
      <c r="F38" t="s">
        <v>162</v>
      </c>
      <c r="G38">
        <v>145.65</v>
      </c>
      <c r="H38">
        <v>14.58</v>
      </c>
      <c r="I38" s="2">
        <v>0.2</v>
      </c>
      <c r="J38">
        <v>5</v>
      </c>
      <c r="K38" s="2">
        <f>Table1[[#This Row],[Profit]]/Table1[[#This Row],[Sales]]</f>
        <v>0.10010298661174047</v>
      </c>
      <c r="L38" s="2" t="str">
        <f t="shared" si="4"/>
        <v>High Discount</v>
      </c>
      <c r="M38" s="2" t="str">
        <f t="shared" si="5"/>
        <v>Low Profit</v>
      </c>
    </row>
    <row r="39" spans="1:13">
      <c r="A39" t="s">
        <v>45</v>
      </c>
      <c r="B39" t="str">
        <f t="shared" si="3"/>
        <v>Jul</v>
      </c>
      <c r="C39" t="s">
        <v>154</v>
      </c>
      <c r="D39" t="s">
        <v>156</v>
      </c>
      <c r="E39" t="s">
        <v>159</v>
      </c>
      <c r="F39" t="s">
        <v>166</v>
      </c>
      <c r="G39">
        <v>4672.97</v>
      </c>
      <c r="H39">
        <v>1055.4100000000001</v>
      </c>
      <c r="I39" s="2">
        <v>0</v>
      </c>
      <c r="J39">
        <v>8</v>
      </c>
      <c r="K39" s="2">
        <f>Table1[[#This Row],[Profit]]/Table1[[#This Row],[Sales]]</f>
        <v>0.22585422119123386</v>
      </c>
      <c r="L39" s="2" t="str">
        <f t="shared" si="4"/>
        <v>Low Discount</v>
      </c>
      <c r="M39" s="2" t="str">
        <f t="shared" si="5"/>
        <v>High Profit</v>
      </c>
    </row>
    <row r="40" spans="1:13">
      <c r="A40" t="s">
        <v>46</v>
      </c>
      <c r="B40" t="str">
        <f t="shared" si="3"/>
        <v>Sep</v>
      </c>
      <c r="C40" t="s">
        <v>151</v>
      </c>
      <c r="D40" t="s">
        <v>155</v>
      </c>
      <c r="E40" t="s">
        <v>158</v>
      </c>
      <c r="F40" t="s">
        <v>165</v>
      </c>
      <c r="G40">
        <v>3547.35</v>
      </c>
      <c r="H40">
        <v>411.71</v>
      </c>
      <c r="I40" s="2">
        <v>0.2</v>
      </c>
      <c r="J40">
        <v>9</v>
      </c>
      <c r="K40" s="2">
        <f>Table1[[#This Row],[Profit]]/Table1[[#This Row],[Sales]]</f>
        <v>0.11606128518471535</v>
      </c>
      <c r="L40" s="2" t="str">
        <f t="shared" si="4"/>
        <v>High Discount</v>
      </c>
      <c r="M40" s="2" t="str">
        <f t="shared" si="5"/>
        <v>High Profit</v>
      </c>
    </row>
    <row r="41" spans="1:13">
      <c r="A41" t="s">
        <v>47</v>
      </c>
      <c r="B41" t="str">
        <f t="shared" si="3"/>
        <v>Mar</v>
      </c>
      <c r="C41" t="s">
        <v>154</v>
      </c>
      <c r="D41" t="s">
        <v>156</v>
      </c>
      <c r="E41" t="s">
        <v>160</v>
      </c>
      <c r="F41" t="s">
        <v>163</v>
      </c>
      <c r="G41">
        <v>4665.6000000000004</v>
      </c>
      <c r="H41">
        <v>1109.4100000000001</v>
      </c>
      <c r="I41" s="2">
        <v>0</v>
      </c>
      <c r="J41">
        <v>2</v>
      </c>
      <c r="K41" s="2">
        <f>Table1[[#This Row],[Profit]]/Table1[[#This Row],[Sales]]</f>
        <v>0.23778506515775033</v>
      </c>
      <c r="L41" s="2" t="str">
        <f t="shared" si="4"/>
        <v>Low Discount</v>
      </c>
      <c r="M41" s="2" t="str">
        <f t="shared" si="5"/>
        <v>High Profit</v>
      </c>
    </row>
    <row r="42" spans="1:13">
      <c r="A42" t="s">
        <v>48</v>
      </c>
      <c r="B42" t="str">
        <f t="shared" si="3"/>
        <v>Apr</v>
      </c>
      <c r="C42" t="s">
        <v>154</v>
      </c>
      <c r="D42" t="s">
        <v>156</v>
      </c>
      <c r="E42" t="s">
        <v>158</v>
      </c>
      <c r="F42" t="s">
        <v>161</v>
      </c>
      <c r="G42">
        <v>2810.8</v>
      </c>
      <c r="H42">
        <v>298.93</v>
      </c>
      <c r="I42" s="2">
        <v>0.1</v>
      </c>
      <c r="J42">
        <v>5</v>
      </c>
      <c r="K42" s="2">
        <f>Table1[[#This Row],[Profit]]/Table1[[#This Row],[Sales]]</f>
        <v>0.10635050519425074</v>
      </c>
      <c r="L42" s="2" t="str">
        <f t="shared" si="4"/>
        <v>Medium Discount</v>
      </c>
      <c r="M42" s="2" t="str">
        <f t="shared" si="5"/>
        <v>High Profit</v>
      </c>
    </row>
    <row r="43" spans="1:13">
      <c r="A43" t="s">
        <v>23</v>
      </c>
      <c r="B43" t="str">
        <f t="shared" si="3"/>
        <v>Aug</v>
      </c>
      <c r="C43" t="s">
        <v>154</v>
      </c>
      <c r="D43" t="s">
        <v>156</v>
      </c>
      <c r="E43" t="s">
        <v>158</v>
      </c>
      <c r="F43" t="s">
        <v>165</v>
      </c>
      <c r="G43">
        <v>2493.81</v>
      </c>
      <c r="H43">
        <v>170.73</v>
      </c>
      <c r="I43" s="2">
        <v>0</v>
      </c>
      <c r="J43">
        <v>1</v>
      </c>
      <c r="K43" s="2">
        <f>Table1[[#This Row],[Profit]]/Table1[[#This Row],[Sales]]</f>
        <v>6.8461510700494416E-2</v>
      </c>
      <c r="L43" s="2" t="str">
        <f t="shared" si="4"/>
        <v>Low Discount</v>
      </c>
      <c r="M43" s="2" t="str">
        <f t="shared" si="5"/>
        <v>High Profit</v>
      </c>
    </row>
    <row r="44" spans="1:13">
      <c r="A44" t="s">
        <v>49</v>
      </c>
      <c r="B44" t="str">
        <f t="shared" si="3"/>
        <v>Aug</v>
      </c>
      <c r="C44" t="s">
        <v>153</v>
      </c>
      <c r="D44" t="s">
        <v>155</v>
      </c>
      <c r="E44" t="s">
        <v>160</v>
      </c>
      <c r="F44" t="s">
        <v>163</v>
      </c>
      <c r="G44">
        <v>3878.48</v>
      </c>
      <c r="H44">
        <v>319.26</v>
      </c>
      <c r="I44" s="2">
        <v>0.1</v>
      </c>
      <c r="J44">
        <v>1</v>
      </c>
      <c r="K44" s="2">
        <f>Table1[[#This Row],[Profit]]/Table1[[#This Row],[Sales]]</f>
        <v>8.2315752562859668E-2</v>
      </c>
      <c r="L44" s="2" t="str">
        <f t="shared" si="4"/>
        <v>Medium Discount</v>
      </c>
      <c r="M44" s="2" t="str">
        <f t="shared" si="5"/>
        <v>High Profit</v>
      </c>
    </row>
    <row r="45" spans="1:13">
      <c r="A45" t="s">
        <v>45</v>
      </c>
      <c r="B45" t="str">
        <f t="shared" si="3"/>
        <v>Jul</v>
      </c>
      <c r="C45" t="s">
        <v>152</v>
      </c>
      <c r="D45" t="s">
        <v>157</v>
      </c>
      <c r="E45" t="s">
        <v>159</v>
      </c>
      <c r="F45" t="s">
        <v>162</v>
      </c>
      <c r="G45">
        <v>468.69</v>
      </c>
      <c r="H45">
        <v>74.58</v>
      </c>
      <c r="I45" s="2">
        <v>0.05</v>
      </c>
      <c r="J45">
        <v>3</v>
      </c>
      <c r="K45" s="2">
        <f>Table1[[#This Row],[Profit]]/Table1[[#This Row],[Sales]]</f>
        <v>0.15912436791909365</v>
      </c>
      <c r="L45" s="2" t="str">
        <f t="shared" si="4"/>
        <v>Low Discount</v>
      </c>
      <c r="M45" s="2" t="str">
        <f t="shared" si="5"/>
        <v>Low Profit</v>
      </c>
    </row>
    <row r="46" spans="1:13">
      <c r="A46" t="s">
        <v>48</v>
      </c>
      <c r="B46" t="str">
        <f t="shared" si="3"/>
        <v>Apr</v>
      </c>
      <c r="C46" t="s">
        <v>152</v>
      </c>
      <c r="D46" t="s">
        <v>155</v>
      </c>
      <c r="E46" t="s">
        <v>159</v>
      </c>
      <c r="F46" t="s">
        <v>162</v>
      </c>
      <c r="G46">
        <v>1610.47</v>
      </c>
      <c r="H46">
        <v>370.06</v>
      </c>
      <c r="I46" s="2">
        <v>0</v>
      </c>
      <c r="J46">
        <v>2</v>
      </c>
      <c r="K46" s="2">
        <f>Table1[[#This Row],[Profit]]/Table1[[#This Row],[Sales]]</f>
        <v>0.22978385191900502</v>
      </c>
      <c r="L46" s="2" t="str">
        <f t="shared" si="4"/>
        <v>Low Discount</v>
      </c>
      <c r="M46" s="2" t="str">
        <f t="shared" si="5"/>
        <v>High Profit</v>
      </c>
    </row>
    <row r="47" spans="1:13">
      <c r="A47" t="s">
        <v>50</v>
      </c>
      <c r="B47" t="str">
        <f t="shared" si="3"/>
        <v>May</v>
      </c>
      <c r="C47" t="s">
        <v>152</v>
      </c>
      <c r="D47" t="s">
        <v>156</v>
      </c>
      <c r="E47" t="s">
        <v>160</v>
      </c>
      <c r="F47" t="s">
        <v>163</v>
      </c>
      <c r="G47">
        <v>3922.57</v>
      </c>
      <c r="H47">
        <v>470</v>
      </c>
      <c r="I47" s="2">
        <v>0.15</v>
      </c>
      <c r="J47">
        <v>7</v>
      </c>
      <c r="K47" s="2">
        <f>Table1[[#This Row],[Profit]]/Table1[[#This Row],[Sales]]</f>
        <v>0.11981940411515919</v>
      </c>
      <c r="L47" s="2" t="str">
        <f t="shared" si="4"/>
        <v>Medium Discount</v>
      </c>
      <c r="M47" s="2" t="str">
        <f t="shared" si="5"/>
        <v>High Profit</v>
      </c>
    </row>
    <row r="48" spans="1:13">
      <c r="A48" t="s">
        <v>51</v>
      </c>
      <c r="B48" t="str">
        <f t="shared" si="3"/>
        <v>Jul</v>
      </c>
      <c r="C48" t="s">
        <v>152</v>
      </c>
      <c r="D48" t="s">
        <v>157</v>
      </c>
      <c r="E48" t="s">
        <v>159</v>
      </c>
      <c r="F48" t="s">
        <v>162</v>
      </c>
      <c r="G48">
        <v>978.87</v>
      </c>
      <c r="H48">
        <v>202.11</v>
      </c>
      <c r="I48" s="2">
        <v>0.1</v>
      </c>
      <c r="J48">
        <v>3</v>
      </c>
      <c r="K48" s="2">
        <f>Table1[[#This Row],[Profit]]/Table1[[#This Row],[Sales]]</f>
        <v>0.2064727696221153</v>
      </c>
      <c r="L48" s="2" t="str">
        <f t="shared" si="4"/>
        <v>Medium Discount</v>
      </c>
      <c r="M48" s="2" t="str">
        <f t="shared" si="5"/>
        <v>High Profit</v>
      </c>
    </row>
    <row r="49" spans="1:13">
      <c r="A49" t="s">
        <v>52</v>
      </c>
      <c r="B49" t="str">
        <f t="shared" si="3"/>
        <v>Apr</v>
      </c>
      <c r="C49" t="s">
        <v>152</v>
      </c>
      <c r="D49" t="s">
        <v>157</v>
      </c>
      <c r="E49" t="s">
        <v>158</v>
      </c>
      <c r="F49" t="s">
        <v>161</v>
      </c>
      <c r="G49">
        <v>629.66999999999996</v>
      </c>
      <c r="H49">
        <v>139.61000000000001</v>
      </c>
      <c r="I49" s="2">
        <v>0</v>
      </c>
      <c r="J49">
        <v>6</v>
      </c>
      <c r="K49" s="2">
        <f>Table1[[#This Row],[Profit]]/Table1[[#This Row],[Sales]]</f>
        <v>0.22171931329108902</v>
      </c>
      <c r="L49" s="2" t="str">
        <f t="shared" si="4"/>
        <v>Low Discount</v>
      </c>
      <c r="M49" s="2" t="str">
        <f t="shared" si="5"/>
        <v>High Profit</v>
      </c>
    </row>
    <row r="50" spans="1:13">
      <c r="A50" t="s">
        <v>53</v>
      </c>
      <c r="B50" t="str">
        <f t="shared" si="3"/>
        <v>Dec</v>
      </c>
      <c r="C50" t="s">
        <v>152</v>
      </c>
      <c r="D50" t="s">
        <v>157</v>
      </c>
      <c r="E50" t="s">
        <v>160</v>
      </c>
      <c r="F50" t="s">
        <v>163</v>
      </c>
      <c r="G50">
        <v>4120.63</v>
      </c>
      <c r="H50">
        <v>389.75</v>
      </c>
      <c r="I50" s="2">
        <v>0.05</v>
      </c>
      <c r="J50">
        <v>6</v>
      </c>
      <c r="K50" s="2">
        <f>Table1[[#This Row],[Profit]]/Table1[[#This Row],[Sales]]</f>
        <v>9.4585051314968818E-2</v>
      </c>
      <c r="L50" s="2" t="str">
        <f t="shared" si="4"/>
        <v>Low Discount</v>
      </c>
      <c r="M50" s="2" t="str">
        <f t="shared" si="5"/>
        <v>High Profit</v>
      </c>
    </row>
    <row r="51" spans="1:13">
      <c r="A51" t="s">
        <v>54</v>
      </c>
      <c r="B51" t="str">
        <f t="shared" si="3"/>
        <v>Sep</v>
      </c>
      <c r="C51" t="s">
        <v>153</v>
      </c>
      <c r="D51" t="s">
        <v>155</v>
      </c>
      <c r="E51" t="s">
        <v>160</v>
      </c>
      <c r="F51" t="s">
        <v>163</v>
      </c>
      <c r="G51">
        <v>4335.33</v>
      </c>
      <c r="H51">
        <v>521.23</v>
      </c>
      <c r="I51" s="2">
        <v>0.1</v>
      </c>
      <c r="J51">
        <v>9</v>
      </c>
      <c r="K51" s="2">
        <f>Table1[[#This Row],[Profit]]/Table1[[#This Row],[Sales]]</f>
        <v>0.1202284485840755</v>
      </c>
      <c r="L51" s="2" t="str">
        <f t="shared" si="4"/>
        <v>Medium Discount</v>
      </c>
      <c r="M51" s="2" t="str">
        <f t="shared" si="5"/>
        <v>High Profit</v>
      </c>
    </row>
    <row r="52" spans="1:13">
      <c r="A52" t="s">
        <v>55</v>
      </c>
      <c r="B52" t="str">
        <f t="shared" si="3"/>
        <v>May</v>
      </c>
      <c r="C52" t="s">
        <v>152</v>
      </c>
      <c r="D52" t="s">
        <v>155</v>
      </c>
      <c r="E52" t="s">
        <v>160</v>
      </c>
      <c r="F52" t="s">
        <v>163</v>
      </c>
      <c r="G52">
        <v>4702.26</v>
      </c>
      <c r="H52">
        <v>1059.93</v>
      </c>
      <c r="I52" s="2">
        <v>0</v>
      </c>
      <c r="J52">
        <v>5</v>
      </c>
      <c r="K52" s="2">
        <f>Table1[[#This Row],[Profit]]/Table1[[#This Row],[Sales]]</f>
        <v>0.22540863329547919</v>
      </c>
      <c r="L52" s="2" t="str">
        <f t="shared" si="4"/>
        <v>Low Discount</v>
      </c>
      <c r="M52" s="2" t="str">
        <f t="shared" si="5"/>
        <v>High Profit</v>
      </c>
    </row>
    <row r="53" spans="1:13">
      <c r="A53" t="s">
        <v>56</v>
      </c>
      <c r="B53" t="str">
        <f t="shared" si="3"/>
        <v>Aug</v>
      </c>
      <c r="C53" t="s">
        <v>151</v>
      </c>
      <c r="D53" t="s">
        <v>157</v>
      </c>
      <c r="E53" t="s">
        <v>159</v>
      </c>
      <c r="F53" t="s">
        <v>162</v>
      </c>
      <c r="G53">
        <v>631.16999999999996</v>
      </c>
      <c r="H53">
        <v>-6</v>
      </c>
      <c r="I53" s="2">
        <v>0.15</v>
      </c>
      <c r="J53">
        <v>10</v>
      </c>
      <c r="K53" s="2">
        <f>Table1[[#This Row],[Profit]]/Table1[[#This Row],[Sales]]</f>
        <v>-9.5061552355149969E-3</v>
      </c>
      <c r="L53" s="2" t="str">
        <f t="shared" si="4"/>
        <v>Medium Discount</v>
      </c>
      <c r="M53" s="2" t="str">
        <f t="shared" si="5"/>
        <v>Loss-Making</v>
      </c>
    </row>
    <row r="54" spans="1:13">
      <c r="A54" t="s">
        <v>57</v>
      </c>
      <c r="B54" t="str">
        <f t="shared" si="3"/>
        <v>Oct</v>
      </c>
      <c r="C54" t="s">
        <v>152</v>
      </c>
      <c r="D54" t="s">
        <v>157</v>
      </c>
      <c r="E54" t="s">
        <v>159</v>
      </c>
      <c r="F54" t="s">
        <v>166</v>
      </c>
      <c r="G54">
        <v>1348.14</v>
      </c>
      <c r="H54">
        <v>-124.32</v>
      </c>
      <c r="I54" s="2">
        <v>0.15</v>
      </c>
      <c r="J54">
        <v>7</v>
      </c>
      <c r="K54" s="2">
        <f>Table1[[#This Row],[Profit]]/Table1[[#This Row],[Sales]]</f>
        <v>-9.2215941964484391E-2</v>
      </c>
      <c r="L54" s="2" t="str">
        <f t="shared" si="4"/>
        <v>Medium Discount</v>
      </c>
      <c r="M54" s="2" t="str">
        <f t="shared" si="5"/>
        <v>Loss-Making</v>
      </c>
    </row>
    <row r="55" spans="1:13">
      <c r="A55" t="s">
        <v>58</v>
      </c>
      <c r="B55" t="str">
        <f t="shared" si="3"/>
        <v>Dec</v>
      </c>
      <c r="C55" t="s">
        <v>151</v>
      </c>
      <c r="D55" t="s">
        <v>155</v>
      </c>
      <c r="E55" t="s">
        <v>159</v>
      </c>
      <c r="F55" t="s">
        <v>162</v>
      </c>
      <c r="G55">
        <v>4749.4799999999996</v>
      </c>
      <c r="H55">
        <v>829.41</v>
      </c>
      <c r="I55" s="2">
        <v>0.1</v>
      </c>
      <c r="J55">
        <v>5</v>
      </c>
      <c r="K55" s="2">
        <f>Table1[[#This Row],[Profit]]/Table1[[#This Row],[Sales]]</f>
        <v>0.17463174915990803</v>
      </c>
      <c r="L55" s="2" t="str">
        <f t="shared" si="4"/>
        <v>Medium Discount</v>
      </c>
      <c r="M55" s="2" t="str">
        <f t="shared" si="5"/>
        <v>High Profit</v>
      </c>
    </row>
    <row r="56" spans="1:13">
      <c r="A56" t="s">
        <v>59</v>
      </c>
      <c r="B56" t="str">
        <f t="shared" si="3"/>
        <v>Oct</v>
      </c>
      <c r="C56" t="s">
        <v>152</v>
      </c>
      <c r="D56" t="s">
        <v>156</v>
      </c>
      <c r="E56" t="s">
        <v>158</v>
      </c>
      <c r="F56" t="s">
        <v>165</v>
      </c>
      <c r="G56">
        <v>1615.49</v>
      </c>
      <c r="H56">
        <v>-7.24</v>
      </c>
      <c r="I56" s="2">
        <v>0.15</v>
      </c>
      <c r="J56">
        <v>7</v>
      </c>
      <c r="K56" s="2">
        <f>Table1[[#This Row],[Profit]]/Table1[[#This Row],[Sales]]</f>
        <v>-4.4816123900488399E-3</v>
      </c>
      <c r="L56" s="2" t="str">
        <f t="shared" si="4"/>
        <v>Medium Discount</v>
      </c>
      <c r="M56" s="2" t="str">
        <f t="shared" si="5"/>
        <v>Loss-Making</v>
      </c>
    </row>
    <row r="57" spans="1:13">
      <c r="A57" t="s">
        <v>60</v>
      </c>
      <c r="B57" t="str">
        <f t="shared" si="3"/>
        <v>Jun</v>
      </c>
      <c r="C57" t="s">
        <v>153</v>
      </c>
      <c r="D57" t="s">
        <v>155</v>
      </c>
      <c r="E57" t="s">
        <v>158</v>
      </c>
      <c r="F57" t="s">
        <v>161</v>
      </c>
      <c r="G57">
        <v>4707.78</v>
      </c>
      <c r="H57">
        <v>814.93</v>
      </c>
      <c r="I57" s="2">
        <v>0.05</v>
      </c>
      <c r="J57">
        <v>1</v>
      </c>
      <c r="K57" s="2">
        <f>Table1[[#This Row],[Profit]]/Table1[[#This Row],[Sales]]</f>
        <v>0.17310282128731588</v>
      </c>
      <c r="L57" s="2" t="str">
        <f t="shared" si="4"/>
        <v>Low Discount</v>
      </c>
      <c r="M57" s="2" t="str">
        <f t="shared" si="5"/>
        <v>High Profit</v>
      </c>
    </row>
    <row r="58" spans="1:13">
      <c r="A58" t="s">
        <v>61</v>
      </c>
      <c r="B58" t="str">
        <f t="shared" si="3"/>
        <v>Jun</v>
      </c>
      <c r="C58" t="s">
        <v>153</v>
      </c>
      <c r="D58" t="s">
        <v>157</v>
      </c>
      <c r="E58" t="s">
        <v>160</v>
      </c>
      <c r="F58" t="s">
        <v>163</v>
      </c>
      <c r="G58">
        <v>1505.88</v>
      </c>
      <c r="H58">
        <v>145.30000000000001</v>
      </c>
      <c r="I58" s="2">
        <v>0.15</v>
      </c>
      <c r="J58">
        <v>8</v>
      </c>
      <c r="K58" s="2">
        <f>Table1[[#This Row],[Profit]]/Table1[[#This Row],[Sales]]</f>
        <v>9.6488432013175016E-2</v>
      </c>
      <c r="L58" s="2" t="str">
        <f t="shared" si="4"/>
        <v>Medium Discount</v>
      </c>
      <c r="M58" s="2" t="str">
        <f t="shared" si="5"/>
        <v>High Profit</v>
      </c>
    </row>
    <row r="59" spans="1:13">
      <c r="A59" t="s">
        <v>62</v>
      </c>
      <c r="B59" t="str">
        <f t="shared" si="3"/>
        <v>Mar</v>
      </c>
      <c r="C59" t="s">
        <v>151</v>
      </c>
      <c r="D59" t="s">
        <v>157</v>
      </c>
      <c r="E59" t="s">
        <v>158</v>
      </c>
      <c r="F59" t="s">
        <v>161</v>
      </c>
      <c r="G59">
        <v>1147.1400000000001</v>
      </c>
      <c r="H59">
        <v>72</v>
      </c>
      <c r="I59" s="2">
        <v>0.15</v>
      </c>
      <c r="J59">
        <v>9</v>
      </c>
      <c r="K59" s="2">
        <f>Table1[[#This Row],[Profit]]/Table1[[#This Row],[Sales]]</f>
        <v>6.2764788953397141E-2</v>
      </c>
      <c r="L59" s="2" t="str">
        <f t="shared" si="4"/>
        <v>Medium Discount</v>
      </c>
      <c r="M59" s="2" t="str">
        <f t="shared" si="5"/>
        <v>Low Profit</v>
      </c>
    </row>
    <row r="60" spans="1:13">
      <c r="A60" t="s">
        <v>41</v>
      </c>
      <c r="B60" t="str">
        <f t="shared" si="3"/>
        <v>May</v>
      </c>
      <c r="C60" t="s">
        <v>154</v>
      </c>
      <c r="D60" t="s">
        <v>156</v>
      </c>
      <c r="E60" t="s">
        <v>158</v>
      </c>
      <c r="F60" t="s">
        <v>161</v>
      </c>
      <c r="G60">
        <v>3201.41</v>
      </c>
      <c r="H60">
        <v>219.86</v>
      </c>
      <c r="I60" s="2">
        <v>0.1</v>
      </c>
      <c r="J60">
        <v>4</v>
      </c>
      <c r="K60" s="2">
        <f>Table1[[#This Row],[Profit]]/Table1[[#This Row],[Sales]]</f>
        <v>6.8675989642063978E-2</v>
      </c>
      <c r="L60" s="2" t="str">
        <f t="shared" si="4"/>
        <v>Medium Discount</v>
      </c>
      <c r="M60" s="2" t="str">
        <f t="shared" si="5"/>
        <v>High Profit</v>
      </c>
    </row>
    <row r="61" spans="1:13">
      <c r="A61" t="s">
        <v>63</v>
      </c>
      <c r="B61" t="str">
        <f t="shared" si="3"/>
        <v>Nov</v>
      </c>
      <c r="C61" t="s">
        <v>151</v>
      </c>
      <c r="D61" t="s">
        <v>157</v>
      </c>
      <c r="E61" t="s">
        <v>159</v>
      </c>
      <c r="F61" t="s">
        <v>166</v>
      </c>
      <c r="G61">
        <v>219.68</v>
      </c>
      <c r="H61">
        <v>54.21</v>
      </c>
      <c r="I61" s="2">
        <v>0.05</v>
      </c>
      <c r="J61">
        <v>7</v>
      </c>
      <c r="K61" s="2">
        <f>Table1[[#This Row],[Profit]]/Table1[[#This Row],[Sales]]</f>
        <v>0.2467680262199563</v>
      </c>
      <c r="L61" s="2" t="str">
        <f t="shared" si="4"/>
        <v>Low Discount</v>
      </c>
      <c r="M61" s="2" t="str">
        <f t="shared" si="5"/>
        <v>Low Profit</v>
      </c>
    </row>
    <row r="62" spans="1:13">
      <c r="A62" t="s">
        <v>64</v>
      </c>
      <c r="B62" t="str">
        <f t="shared" si="3"/>
        <v>Dec</v>
      </c>
      <c r="C62" t="s">
        <v>151</v>
      </c>
      <c r="D62" t="s">
        <v>156</v>
      </c>
      <c r="E62" t="s">
        <v>158</v>
      </c>
      <c r="F62" t="s">
        <v>161</v>
      </c>
      <c r="G62">
        <v>2920.79</v>
      </c>
      <c r="H62">
        <v>217.53</v>
      </c>
      <c r="I62" s="2">
        <v>0.15</v>
      </c>
      <c r="J62">
        <v>7</v>
      </c>
      <c r="K62" s="2">
        <f>Table1[[#This Row],[Profit]]/Table1[[#This Row],[Sales]]</f>
        <v>7.447642589847267E-2</v>
      </c>
      <c r="L62" s="2" t="str">
        <f t="shared" si="4"/>
        <v>Medium Discount</v>
      </c>
      <c r="M62" s="2" t="str">
        <f t="shared" si="5"/>
        <v>High Profit</v>
      </c>
    </row>
    <row r="63" spans="1:13">
      <c r="A63" t="s">
        <v>65</v>
      </c>
      <c r="B63" t="str">
        <f t="shared" si="3"/>
        <v>Mar</v>
      </c>
      <c r="C63" t="s">
        <v>153</v>
      </c>
      <c r="D63" t="s">
        <v>156</v>
      </c>
      <c r="E63" t="s">
        <v>159</v>
      </c>
      <c r="F63" t="s">
        <v>166</v>
      </c>
      <c r="G63">
        <v>961.84</v>
      </c>
      <c r="H63">
        <v>35.75</v>
      </c>
      <c r="I63" s="2">
        <v>0.2</v>
      </c>
      <c r="J63">
        <v>8</v>
      </c>
      <c r="K63" s="2">
        <f>Table1[[#This Row],[Profit]]/Table1[[#This Row],[Sales]]</f>
        <v>3.7168344007319304E-2</v>
      </c>
      <c r="L63" s="2" t="str">
        <f t="shared" si="4"/>
        <v>High Discount</v>
      </c>
      <c r="M63" s="2" t="str">
        <f t="shared" si="5"/>
        <v>Low Profit</v>
      </c>
    </row>
    <row r="64" spans="1:13">
      <c r="A64" t="s">
        <v>49</v>
      </c>
      <c r="B64" t="str">
        <f t="shared" si="3"/>
        <v>Aug</v>
      </c>
      <c r="C64" t="s">
        <v>153</v>
      </c>
      <c r="D64" t="s">
        <v>155</v>
      </c>
      <c r="E64" t="s">
        <v>158</v>
      </c>
      <c r="F64" t="s">
        <v>161</v>
      </c>
      <c r="G64">
        <v>2702.55</v>
      </c>
      <c r="H64">
        <v>65.09</v>
      </c>
      <c r="I64" s="2">
        <v>0.2</v>
      </c>
      <c r="J64">
        <v>8</v>
      </c>
      <c r="K64" s="2">
        <f>Table1[[#This Row],[Profit]]/Table1[[#This Row],[Sales]]</f>
        <v>2.4084660783334259E-2</v>
      </c>
      <c r="L64" s="2" t="str">
        <f t="shared" si="4"/>
        <v>High Discount</v>
      </c>
      <c r="M64" s="2" t="str">
        <f t="shared" si="5"/>
        <v>Low Profit</v>
      </c>
    </row>
    <row r="65" spans="1:13">
      <c r="A65" t="s">
        <v>66</v>
      </c>
      <c r="B65" t="str">
        <f t="shared" si="3"/>
        <v>Nov</v>
      </c>
      <c r="C65" t="s">
        <v>154</v>
      </c>
      <c r="D65" t="s">
        <v>155</v>
      </c>
      <c r="E65" t="s">
        <v>159</v>
      </c>
      <c r="F65" t="s">
        <v>166</v>
      </c>
      <c r="G65">
        <v>3743.91</v>
      </c>
      <c r="H65">
        <v>55.55</v>
      </c>
      <c r="I65" s="2">
        <v>0.15</v>
      </c>
      <c r="J65">
        <v>8</v>
      </c>
      <c r="K65" s="2">
        <f>Table1[[#This Row],[Profit]]/Table1[[#This Row],[Sales]]</f>
        <v>1.4837429318546654E-2</v>
      </c>
      <c r="L65" s="2" t="str">
        <f t="shared" si="4"/>
        <v>Medium Discount</v>
      </c>
      <c r="M65" s="2" t="str">
        <f t="shared" si="5"/>
        <v>Low Profit</v>
      </c>
    </row>
    <row r="66" spans="1:13">
      <c r="A66" t="s">
        <v>67</v>
      </c>
      <c r="B66" t="str">
        <f t="shared" ref="B66:B97" si="6">TEXT(A66,"mmm")</f>
        <v>May</v>
      </c>
      <c r="C66" t="s">
        <v>154</v>
      </c>
      <c r="D66" t="s">
        <v>157</v>
      </c>
      <c r="E66" t="s">
        <v>158</v>
      </c>
      <c r="F66" t="s">
        <v>161</v>
      </c>
      <c r="G66">
        <v>1272.3</v>
      </c>
      <c r="H66">
        <v>-16.64</v>
      </c>
      <c r="I66" s="2">
        <v>0.15</v>
      </c>
      <c r="J66">
        <v>9</v>
      </c>
      <c r="K66" s="2">
        <f>Table1[[#This Row],[Profit]]/Table1[[#This Row],[Sales]]</f>
        <v>-1.3078676412795726E-2</v>
      </c>
      <c r="L66" s="2" t="str">
        <f t="shared" ref="L66:L97" si="7">IF(I66&lt;=0.05,"Low Discount",
IF(I66&lt;=0.15,"Medium Discount",
"High Discount"))</f>
        <v>Medium Discount</v>
      </c>
      <c r="M66" s="2" t="str">
        <f t="shared" ref="M66:M97" si="8">IF(H66&lt;0,"Loss-Making",
IF(H66&lt;100,"Low Profit",
"High Profit"))</f>
        <v>Loss-Making</v>
      </c>
    </row>
    <row r="67" spans="1:13">
      <c r="A67" t="s">
        <v>68</v>
      </c>
      <c r="B67" t="str">
        <f t="shared" si="6"/>
        <v>Mar</v>
      </c>
      <c r="C67" t="s">
        <v>152</v>
      </c>
      <c r="D67" t="s">
        <v>156</v>
      </c>
      <c r="E67" t="s">
        <v>159</v>
      </c>
      <c r="F67" t="s">
        <v>162</v>
      </c>
      <c r="G67">
        <v>778.03</v>
      </c>
      <c r="H67">
        <v>98.5</v>
      </c>
      <c r="I67" s="2">
        <v>0.05</v>
      </c>
      <c r="J67">
        <v>7</v>
      </c>
      <c r="K67" s="2">
        <f>Table1[[#This Row],[Profit]]/Table1[[#This Row],[Sales]]</f>
        <v>0.12660180198706991</v>
      </c>
      <c r="L67" s="2" t="str">
        <f t="shared" si="7"/>
        <v>Low Discount</v>
      </c>
      <c r="M67" s="2" t="str">
        <f t="shared" si="8"/>
        <v>Low Profit</v>
      </c>
    </row>
    <row r="68" spans="1:13">
      <c r="A68" t="s">
        <v>69</v>
      </c>
      <c r="B68" t="str">
        <f t="shared" si="6"/>
        <v>Aug</v>
      </c>
      <c r="C68" t="s">
        <v>153</v>
      </c>
      <c r="D68" t="s">
        <v>155</v>
      </c>
      <c r="E68" t="s">
        <v>160</v>
      </c>
      <c r="F68" t="s">
        <v>164</v>
      </c>
      <c r="G68">
        <v>1721.32</v>
      </c>
      <c r="H68">
        <v>107.53</v>
      </c>
      <c r="I68" s="2">
        <v>0.15</v>
      </c>
      <c r="J68">
        <v>1</v>
      </c>
      <c r="K68" s="2">
        <f>Table1[[#This Row],[Profit]]/Table1[[#This Row],[Sales]]</f>
        <v>6.2469500151046874E-2</v>
      </c>
      <c r="L68" s="2" t="str">
        <f t="shared" si="7"/>
        <v>Medium Discount</v>
      </c>
      <c r="M68" s="2" t="str">
        <f t="shared" si="8"/>
        <v>High Profit</v>
      </c>
    </row>
    <row r="69" spans="1:13">
      <c r="A69" t="s">
        <v>70</v>
      </c>
      <c r="B69" t="str">
        <f t="shared" si="6"/>
        <v>Jun</v>
      </c>
      <c r="C69" t="s">
        <v>153</v>
      </c>
      <c r="D69" t="s">
        <v>157</v>
      </c>
      <c r="E69" t="s">
        <v>158</v>
      </c>
      <c r="F69" t="s">
        <v>165</v>
      </c>
      <c r="G69">
        <v>1963.87</v>
      </c>
      <c r="H69">
        <v>468.48</v>
      </c>
      <c r="I69" s="2">
        <v>0</v>
      </c>
      <c r="J69">
        <v>9</v>
      </c>
      <c r="K69" s="2">
        <f>Table1[[#This Row],[Profit]]/Table1[[#This Row],[Sales]]</f>
        <v>0.23854939481737591</v>
      </c>
      <c r="L69" s="2" t="str">
        <f t="shared" si="7"/>
        <v>Low Discount</v>
      </c>
      <c r="M69" s="2" t="str">
        <f t="shared" si="8"/>
        <v>High Profit</v>
      </c>
    </row>
    <row r="70" spans="1:13">
      <c r="A70" t="s">
        <v>67</v>
      </c>
      <c r="B70" t="str">
        <f t="shared" si="6"/>
        <v>May</v>
      </c>
      <c r="C70" t="s">
        <v>153</v>
      </c>
      <c r="D70" t="s">
        <v>157</v>
      </c>
      <c r="E70" t="s">
        <v>158</v>
      </c>
      <c r="F70" t="s">
        <v>161</v>
      </c>
      <c r="G70">
        <v>3699.71</v>
      </c>
      <c r="H70">
        <v>483.7</v>
      </c>
      <c r="I70" s="2">
        <v>0.2</v>
      </c>
      <c r="J70">
        <v>1</v>
      </c>
      <c r="K70" s="2">
        <f>Table1[[#This Row],[Profit]]/Table1[[#This Row],[Sales]]</f>
        <v>0.1307399769171097</v>
      </c>
      <c r="L70" s="2" t="str">
        <f t="shared" si="7"/>
        <v>High Discount</v>
      </c>
      <c r="M70" s="2" t="str">
        <f t="shared" si="8"/>
        <v>High Profit</v>
      </c>
    </row>
    <row r="71" spans="1:13">
      <c r="A71" t="s">
        <v>71</v>
      </c>
      <c r="B71" t="str">
        <f t="shared" si="6"/>
        <v>Mar</v>
      </c>
      <c r="C71" t="s">
        <v>151</v>
      </c>
      <c r="D71" t="s">
        <v>157</v>
      </c>
      <c r="E71" t="s">
        <v>160</v>
      </c>
      <c r="F71" t="s">
        <v>164</v>
      </c>
      <c r="G71">
        <v>1747.03</v>
      </c>
      <c r="H71">
        <v>106.19</v>
      </c>
      <c r="I71" s="2">
        <v>0.15</v>
      </c>
      <c r="J71">
        <v>10</v>
      </c>
      <c r="K71" s="2">
        <f>Table1[[#This Row],[Profit]]/Table1[[#This Row],[Sales]]</f>
        <v>6.0783157701928416E-2</v>
      </c>
      <c r="L71" s="2" t="str">
        <f t="shared" si="7"/>
        <v>Medium Discount</v>
      </c>
      <c r="M71" s="2" t="str">
        <f t="shared" si="8"/>
        <v>High Profit</v>
      </c>
    </row>
    <row r="72" spans="1:13">
      <c r="A72" t="s">
        <v>72</v>
      </c>
      <c r="B72" t="str">
        <f t="shared" si="6"/>
        <v>Mar</v>
      </c>
      <c r="C72" t="s">
        <v>153</v>
      </c>
      <c r="D72" t="s">
        <v>156</v>
      </c>
      <c r="E72" t="s">
        <v>158</v>
      </c>
      <c r="F72" t="s">
        <v>165</v>
      </c>
      <c r="G72">
        <v>3348.7</v>
      </c>
      <c r="H72">
        <v>597.91</v>
      </c>
      <c r="I72" s="2">
        <v>0</v>
      </c>
      <c r="J72">
        <v>1</v>
      </c>
      <c r="K72" s="2">
        <f>Table1[[#This Row],[Profit]]/Table1[[#This Row],[Sales]]</f>
        <v>0.17854988503001165</v>
      </c>
      <c r="L72" s="2" t="str">
        <f t="shared" si="7"/>
        <v>Low Discount</v>
      </c>
      <c r="M72" s="2" t="str">
        <f t="shared" si="8"/>
        <v>High Profit</v>
      </c>
    </row>
    <row r="73" spans="1:13">
      <c r="A73" t="s">
        <v>13</v>
      </c>
      <c r="B73" t="str">
        <f t="shared" si="6"/>
        <v>Jun</v>
      </c>
      <c r="C73" t="s">
        <v>153</v>
      </c>
      <c r="D73" t="s">
        <v>157</v>
      </c>
      <c r="E73" t="s">
        <v>160</v>
      </c>
      <c r="F73" t="s">
        <v>163</v>
      </c>
      <c r="G73">
        <v>1957.61</v>
      </c>
      <c r="H73">
        <v>275.91000000000003</v>
      </c>
      <c r="I73" s="2">
        <v>0.05</v>
      </c>
      <c r="J73">
        <v>7</v>
      </c>
      <c r="K73" s="2">
        <f>Table1[[#This Row],[Profit]]/Table1[[#This Row],[Sales]]</f>
        <v>0.14094227144323948</v>
      </c>
      <c r="L73" s="2" t="str">
        <f t="shared" si="7"/>
        <v>Low Discount</v>
      </c>
      <c r="M73" s="2" t="str">
        <f t="shared" si="8"/>
        <v>High Profit</v>
      </c>
    </row>
    <row r="74" spans="1:13">
      <c r="A74" t="s">
        <v>73</v>
      </c>
      <c r="B74" t="str">
        <f t="shared" si="6"/>
        <v>Jun</v>
      </c>
      <c r="C74" t="s">
        <v>152</v>
      </c>
      <c r="D74" t="s">
        <v>155</v>
      </c>
      <c r="E74" t="s">
        <v>160</v>
      </c>
      <c r="F74" t="s">
        <v>163</v>
      </c>
      <c r="G74">
        <v>4191.0600000000004</v>
      </c>
      <c r="H74">
        <v>-209.83</v>
      </c>
      <c r="I74" s="2">
        <v>0.15</v>
      </c>
      <c r="J74">
        <v>2</v>
      </c>
      <c r="K74" s="2">
        <f>Table1[[#This Row],[Profit]]/Table1[[#This Row],[Sales]]</f>
        <v>-5.006609306476166E-2</v>
      </c>
      <c r="L74" s="2" t="str">
        <f t="shared" si="7"/>
        <v>Medium Discount</v>
      </c>
      <c r="M74" s="2" t="str">
        <f t="shared" si="8"/>
        <v>Loss-Making</v>
      </c>
    </row>
    <row r="75" spans="1:13">
      <c r="A75" t="s">
        <v>74</v>
      </c>
      <c r="B75" t="str">
        <f t="shared" si="6"/>
        <v>Apr</v>
      </c>
      <c r="C75" t="s">
        <v>151</v>
      </c>
      <c r="D75" t="s">
        <v>155</v>
      </c>
      <c r="E75" t="s">
        <v>158</v>
      </c>
      <c r="F75" t="s">
        <v>161</v>
      </c>
      <c r="G75">
        <v>297.26</v>
      </c>
      <c r="H75">
        <v>71.319999999999993</v>
      </c>
      <c r="I75" s="2">
        <v>0</v>
      </c>
      <c r="J75">
        <v>3</v>
      </c>
      <c r="K75" s="2">
        <f>Table1[[#This Row],[Profit]]/Table1[[#This Row],[Sales]]</f>
        <v>0.23992464509183878</v>
      </c>
      <c r="L75" s="2" t="str">
        <f t="shared" si="7"/>
        <v>Low Discount</v>
      </c>
      <c r="M75" s="2" t="str">
        <f t="shared" si="8"/>
        <v>Low Profit</v>
      </c>
    </row>
    <row r="76" spans="1:13">
      <c r="A76" t="s">
        <v>11</v>
      </c>
      <c r="B76" t="str">
        <f t="shared" si="6"/>
        <v>Apr</v>
      </c>
      <c r="C76" t="s">
        <v>153</v>
      </c>
      <c r="D76" t="s">
        <v>155</v>
      </c>
      <c r="E76" t="s">
        <v>159</v>
      </c>
      <c r="F76" t="s">
        <v>166</v>
      </c>
      <c r="G76">
        <v>718.48</v>
      </c>
      <c r="H76">
        <v>116.96</v>
      </c>
      <c r="I76" s="2">
        <v>0</v>
      </c>
      <c r="J76">
        <v>5</v>
      </c>
      <c r="K76" s="2">
        <f>Table1[[#This Row],[Profit]]/Table1[[#This Row],[Sales]]</f>
        <v>0.16278810822848233</v>
      </c>
      <c r="L76" s="2" t="str">
        <f t="shared" si="7"/>
        <v>Low Discount</v>
      </c>
      <c r="M76" s="2" t="str">
        <f t="shared" si="8"/>
        <v>High Profit</v>
      </c>
    </row>
    <row r="77" spans="1:13">
      <c r="A77" t="s">
        <v>75</v>
      </c>
      <c r="B77" t="str">
        <f t="shared" si="6"/>
        <v>Mar</v>
      </c>
      <c r="C77" t="s">
        <v>154</v>
      </c>
      <c r="D77" t="s">
        <v>156</v>
      </c>
      <c r="E77" t="s">
        <v>160</v>
      </c>
      <c r="F77" t="s">
        <v>163</v>
      </c>
      <c r="G77">
        <v>922.17</v>
      </c>
      <c r="H77">
        <v>111.5</v>
      </c>
      <c r="I77" s="2">
        <v>0.2</v>
      </c>
      <c r="J77">
        <v>10</v>
      </c>
      <c r="K77" s="2">
        <f>Table1[[#This Row],[Profit]]/Table1[[#This Row],[Sales]]</f>
        <v>0.12091046119479056</v>
      </c>
      <c r="L77" s="2" t="str">
        <f t="shared" si="7"/>
        <v>High Discount</v>
      </c>
      <c r="M77" s="2" t="str">
        <f t="shared" si="8"/>
        <v>High Profit</v>
      </c>
    </row>
    <row r="78" spans="1:13">
      <c r="A78" t="s">
        <v>76</v>
      </c>
      <c r="B78" t="str">
        <f t="shared" si="6"/>
        <v>Jul</v>
      </c>
      <c r="C78" t="s">
        <v>152</v>
      </c>
      <c r="D78" t="s">
        <v>156</v>
      </c>
      <c r="E78" t="s">
        <v>159</v>
      </c>
      <c r="F78" t="s">
        <v>162</v>
      </c>
      <c r="G78">
        <v>4651.55</v>
      </c>
      <c r="H78">
        <v>184.44</v>
      </c>
      <c r="I78" s="2">
        <v>0.2</v>
      </c>
      <c r="J78">
        <v>10</v>
      </c>
      <c r="K78" s="2">
        <f>Table1[[#This Row],[Profit]]/Table1[[#This Row],[Sales]]</f>
        <v>3.9651299029355803E-2</v>
      </c>
      <c r="L78" s="2" t="str">
        <f t="shared" si="7"/>
        <v>High Discount</v>
      </c>
      <c r="M78" s="2" t="str">
        <f t="shared" si="8"/>
        <v>High Profit</v>
      </c>
    </row>
    <row r="79" spans="1:13">
      <c r="A79" t="s">
        <v>60</v>
      </c>
      <c r="B79" t="str">
        <f t="shared" si="6"/>
        <v>Jun</v>
      </c>
      <c r="C79" t="s">
        <v>151</v>
      </c>
      <c r="D79" t="s">
        <v>155</v>
      </c>
      <c r="E79" t="s">
        <v>158</v>
      </c>
      <c r="F79" t="s">
        <v>161</v>
      </c>
      <c r="G79">
        <v>4169.8</v>
      </c>
      <c r="H79">
        <v>293.47000000000003</v>
      </c>
      <c r="I79" s="2">
        <v>0.05</v>
      </c>
      <c r="J79">
        <v>1</v>
      </c>
      <c r="K79" s="2">
        <f>Table1[[#This Row],[Profit]]/Table1[[#This Row],[Sales]]</f>
        <v>7.0379874334500464E-2</v>
      </c>
      <c r="L79" s="2" t="str">
        <f t="shared" si="7"/>
        <v>Low Discount</v>
      </c>
      <c r="M79" s="2" t="str">
        <f t="shared" si="8"/>
        <v>High Profit</v>
      </c>
    </row>
    <row r="80" spans="1:13">
      <c r="A80" t="s">
        <v>77</v>
      </c>
      <c r="B80" t="str">
        <f t="shared" si="6"/>
        <v>Nov</v>
      </c>
      <c r="C80" t="s">
        <v>154</v>
      </c>
      <c r="D80" t="s">
        <v>156</v>
      </c>
      <c r="E80" t="s">
        <v>160</v>
      </c>
      <c r="F80" t="s">
        <v>163</v>
      </c>
      <c r="G80">
        <v>2710.45</v>
      </c>
      <c r="H80">
        <v>172.9</v>
      </c>
      <c r="I80" s="2">
        <v>0.1</v>
      </c>
      <c r="J80">
        <v>7</v>
      </c>
      <c r="K80" s="2">
        <f>Table1[[#This Row],[Profit]]/Table1[[#This Row],[Sales]]</f>
        <v>6.379014554778728E-2</v>
      </c>
      <c r="L80" s="2" t="str">
        <f t="shared" si="7"/>
        <v>Medium Discount</v>
      </c>
      <c r="M80" s="2" t="str">
        <f t="shared" si="8"/>
        <v>High Profit</v>
      </c>
    </row>
    <row r="81" spans="1:13">
      <c r="A81" t="s">
        <v>78</v>
      </c>
      <c r="B81" t="str">
        <f t="shared" si="6"/>
        <v>Aug</v>
      </c>
      <c r="C81" t="s">
        <v>152</v>
      </c>
      <c r="D81" t="s">
        <v>157</v>
      </c>
      <c r="E81" t="s">
        <v>160</v>
      </c>
      <c r="F81" t="s">
        <v>164</v>
      </c>
      <c r="G81">
        <v>617.14</v>
      </c>
      <c r="H81">
        <v>109.31</v>
      </c>
      <c r="I81" s="2">
        <v>0.1</v>
      </c>
      <c r="J81">
        <v>3</v>
      </c>
      <c r="K81" s="2">
        <f>Table1[[#This Row],[Profit]]/Table1[[#This Row],[Sales]]</f>
        <v>0.17712350520141298</v>
      </c>
      <c r="L81" s="2" t="str">
        <f t="shared" si="7"/>
        <v>Medium Discount</v>
      </c>
      <c r="M81" s="2" t="str">
        <f t="shared" si="8"/>
        <v>High Profit</v>
      </c>
    </row>
    <row r="82" spans="1:13">
      <c r="A82" t="s">
        <v>57</v>
      </c>
      <c r="B82" t="str">
        <f t="shared" si="6"/>
        <v>Oct</v>
      </c>
      <c r="C82" t="s">
        <v>153</v>
      </c>
      <c r="D82" t="s">
        <v>157</v>
      </c>
      <c r="E82" t="s">
        <v>158</v>
      </c>
      <c r="F82" t="s">
        <v>161</v>
      </c>
      <c r="G82">
        <v>2656.56</v>
      </c>
      <c r="H82">
        <v>460.07</v>
      </c>
      <c r="I82" s="2">
        <v>0.1</v>
      </c>
      <c r="J82">
        <v>7</v>
      </c>
      <c r="K82" s="2">
        <f>Table1[[#This Row],[Profit]]/Table1[[#This Row],[Sales]]</f>
        <v>0.17318261209985847</v>
      </c>
      <c r="L82" s="2" t="str">
        <f t="shared" si="7"/>
        <v>Medium Discount</v>
      </c>
      <c r="M82" s="2" t="str">
        <f t="shared" si="8"/>
        <v>High Profit</v>
      </c>
    </row>
    <row r="83" spans="1:13">
      <c r="A83" t="s">
        <v>79</v>
      </c>
      <c r="B83" t="str">
        <f t="shared" si="6"/>
        <v>Feb</v>
      </c>
      <c r="C83" t="s">
        <v>154</v>
      </c>
      <c r="D83" t="s">
        <v>157</v>
      </c>
      <c r="E83" t="s">
        <v>158</v>
      </c>
      <c r="F83" t="s">
        <v>161</v>
      </c>
      <c r="G83">
        <v>3003.13</v>
      </c>
      <c r="H83">
        <v>661.72</v>
      </c>
      <c r="I83" s="2">
        <v>0.1</v>
      </c>
      <c r="J83">
        <v>4</v>
      </c>
      <c r="K83" s="2">
        <f>Table1[[#This Row],[Profit]]/Table1[[#This Row],[Sales]]</f>
        <v>0.22034344167585154</v>
      </c>
      <c r="L83" s="2" t="str">
        <f t="shared" si="7"/>
        <v>Medium Discount</v>
      </c>
      <c r="M83" s="2" t="str">
        <f t="shared" si="8"/>
        <v>High Profit</v>
      </c>
    </row>
    <row r="84" spans="1:13">
      <c r="A84" t="s">
        <v>80</v>
      </c>
      <c r="B84" t="str">
        <f t="shared" si="6"/>
        <v>Jun</v>
      </c>
      <c r="C84" t="s">
        <v>152</v>
      </c>
      <c r="D84" t="s">
        <v>157</v>
      </c>
      <c r="E84" t="s">
        <v>160</v>
      </c>
      <c r="F84" t="s">
        <v>164</v>
      </c>
      <c r="G84">
        <v>2892.26</v>
      </c>
      <c r="H84">
        <v>51.62</v>
      </c>
      <c r="I84" s="2">
        <v>0.15</v>
      </c>
      <c r="J84">
        <v>4</v>
      </c>
      <c r="K84" s="2">
        <f>Table1[[#This Row],[Profit]]/Table1[[#This Row],[Sales]]</f>
        <v>1.7847634721636366E-2</v>
      </c>
      <c r="L84" s="2" t="str">
        <f t="shared" si="7"/>
        <v>Medium Discount</v>
      </c>
      <c r="M84" s="2" t="str">
        <f t="shared" si="8"/>
        <v>Low Profit</v>
      </c>
    </row>
    <row r="85" spans="1:13">
      <c r="A85" t="s">
        <v>81</v>
      </c>
      <c r="B85" t="str">
        <f t="shared" si="6"/>
        <v>Nov</v>
      </c>
      <c r="C85" t="s">
        <v>154</v>
      </c>
      <c r="D85" t="s">
        <v>155</v>
      </c>
      <c r="E85" t="s">
        <v>160</v>
      </c>
      <c r="F85" t="s">
        <v>163</v>
      </c>
      <c r="G85">
        <v>4009.38</v>
      </c>
      <c r="H85">
        <v>424.72</v>
      </c>
      <c r="I85" s="2">
        <v>0.1</v>
      </c>
      <c r="J85">
        <v>1</v>
      </c>
      <c r="K85" s="2">
        <f>Table1[[#This Row],[Profit]]/Table1[[#This Row],[Sales]]</f>
        <v>0.10593159042046402</v>
      </c>
      <c r="L85" s="2" t="str">
        <f t="shared" si="7"/>
        <v>Medium Discount</v>
      </c>
      <c r="M85" s="2" t="str">
        <f t="shared" si="8"/>
        <v>High Profit</v>
      </c>
    </row>
    <row r="86" spans="1:13">
      <c r="A86" t="s">
        <v>82</v>
      </c>
      <c r="B86" t="str">
        <f t="shared" si="6"/>
        <v>Jul</v>
      </c>
      <c r="C86" t="s">
        <v>153</v>
      </c>
      <c r="D86" t="s">
        <v>155</v>
      </c>
      <c r="E86" t="s">
        <v>158</v>
      </c>
      <c r="F86" t="s">
        <v>165</v>
      </c>
      <c r="G86">
        <v>4745.51</v>
      </c>
      <c r="H86">
        <v>466.35</v>
      </c>
      <c r="I86" s="2">
        <v>0</v>
      </c>
      <c r="J86">
        <v>4</v>
      </c>
      <c r="K86" s="2">
        <f>Table1[[#This Row],[Profit]]/Table1[[#This Row],[Sales]]</f>
        <v>9.8271840118343445E-2</v>
      </c>
      <c r="L86" s="2" t="str">
        <f t="shared" si="7"/>
        <v>Low Discount</v>
      </c>
      <c r="M86" s="2" t="str">
        <f t="shared" si="8"/>
        <v>High Profit</v>
      </c>
    </row>
    <row r="87" spans="1:13">
      <c r="A87" t="s">
        <v>83</v>
      </c>
      <c r="B87" t="str">
        <f t="shared" si="6"/>
        <v>May</v>
      </c>
      <c r="C87" t="s">
        <v>152</v>
      </c>
      <c r="D87" t="s">
        <v>157</v>
      </c>
      <c r="E87" t="s">
        <v>158</v>
      </c>
      <c r="F87" t="s">
        <v>161</v>
      </c>
      <c r="G87">
        <v>2432.86</v>
      </c>
      <c r="H87">
        <v>213.87</v>
      </c>
      <c r="I87" s="2">
        <v>0.15</v>
      </c>
      <c r="J87">
        <v>4</v>
      </c>
      <c r="K87" s="2">
        <f>Table1[[#This Row],[Profit]]/Table1[[#This Row],[Sales]]</f>
        <v>8.7908880905600811E-2</v>
      </c>
      <c r="L87" s="2" t="str">
        <f t="shared" si="7"/>
        <v>Medium Discount</v>
      </c>
      <c r="M87" s="2" t="str">
        <f t="shared" si="8"/>
        <v>High Profit</v>
      </c>
    </row>
    <row r="88" spans="1:13">
      <c r="A88" t="s">
        <v>84</v>
      </c>
      <c r="B88" t="str">
        <f t="shared" si="6"/>
        <v>Sep</v>
      </c>
      <c r="C88" t="s">
        <v>154</v>
      </c>
      <c r="D88" t="s">
        <v>157</v>
      </c>
      <c r="E88" t="s">
        <v>160</v>
      </c>
      <c r="F88" t="s">
        <v>163</v>
      </c>
      <c r="G88">
        <v>3353.4</v>
      </c>
      <c r="H88">
        <v>485.08</v>
      </c>
      <c r="I88" s="2">
        <v>0.1</v>
      </c>
      <c r="J88">
        <v>9</v>
      </c>
      <c r="K88" s="2">
        <f>Table1[[#This Row],[Profit]]/Table1[[#This Row],[Sales]]</f>
        <v>0.14465318780938749</v>
      </c>
      <c r="L88" s="2" t="str">
        <f t="shared" si="7"/>
        <v>Medium Discount</v>
      </c>
      <c r="M88" s="2" t="str">
        <f t="shared" si="8"/>
        <v>High Profit</v>
      </c>
    </row>
    <row r="89" spans="1:13">
      <c r="A89" t="s">
        <v>85</v>
      </c>
      <c r="B89" t="str">
        <f t="shared" si="6"/>
        <v>Mar</v>
      </c>
      <c r="C89" t="s">
        <v>152</v>
      </c>
      <c r="D89" t="s">
        <v>157</v>
      </c>
      <c r="E89" t="s">
        <v>160</v>
      </c>
      <c r="F89" t="s">
        <v>163</v>
      </c>
      <c r="G89">
        <v>1823.87</v>
      </c>
      <c r="H89">
        <v>52.97</v>
      </c>
      <c r="I89" s="2">
        <v>0.15</v>
      </c>
      <c r="J89">
        <v>2</v>
      </c>
      <c r="K89" s="2">
        <f>Table1[[#This Row],[Profit]]/Table1[[#This Row],[Sales]]</f>
        <v>2.9042640100445757E-2</v>
      </c>
      <c r="L89" s="2" t="str">
        <f t="shared" si="7"/>
        <v>Medium Discount</v>
      </c>
      <c r="M89" s="2" t="str">
        <f t="shared" si="8"/>
        <v>Low Profit</v>
      </c>
    </row>
    <row r="90" spans="1:13">
      <c r="A90" t="s">
        <v>86</v>
      </c>
      <c r="B90" t="str">
        <f t="shared" si="6"/>
        <v>Sep</v>
      </c>
      <c r="C90" t="s">
        <v>154</v>
      </c>
      <c r="D90" t="s">
        <v>155</v>
      </c>
      <c r="E90" t="s">
        <v>158</v>
      </c>
      <c r="F90" t="s">
        <v>161</v>
      </c>
      <c r="G90">
        <v>2725.73</v>
      </c>
      <c r="H90">
        <v>240.7</v>
      </c>
      <c r="I90" s="2">
        <v>0.05</v>
      </c>
      <c r="J90">
        <v>10</v>
      </c>
      <c r="K90" s="2">
        <f>Table1[[#This Row],[Profit]]/Table1[[#This Row],[Sales]]</f>
        <v>8.8306618777355059E-2</v>
      </c>
      <c r="L90" s="2" t="str">
        <f t="shared" si="7"/>
        <v>Low Discount</v>
      </c>
      <c r="M90" s="2" t="str">
        <f t="shared" si="8"/>
        <v>High Profit</v>
      </c>
    </row>
    <row r="91" spans="1:13">
      <c r="A91" t="s">
        <v>87</v>
      </c>
      <c r="B91" t="str">
        <f t="shared" si="6"/>
        <v>Jun</v>
      </c>
      <c r="C91" t="s">
        <v>152</v>
      </c>
      <c r="D91" t="s">
        <v>157</v>
      </c>
      <c r="E91" t="s">
        <v>158</v>
      </c>
      <c r="F91" t="s">
        <v>165</v>
      </c>
      <c r="G91">
        <v>3024.27</v>
      </c>
      <c r="H91">
        <v>654.83000000000004</v>
      </c>
      <c r="I91" s="2">
        <v>0</v>
      </c>
      <c r="J91">
        <v>3</v>
      </c>
      <c r="K91" s="2">
        <f>Table1[[#This Row],[Profit]]/Table1[[#This Row],[Sales]]</f>
        <v>0.21652497958184952</v>
      </c>
      <c r="L91" s="2" t="str">
        <f t="shared" si="7"/>
        <v>Low Discount</v>
      </c>
      <c r="M91" s="2" t="str">
        <f t="shared" si="8"/>
        <v>High Profit</v>
      </c>
    </row>
    <row r="92" spans="1:13">
      <c r="A92" t="s">
        <v>88</v>
      </c>
      <c r="B92" t="str">
        <f t="shared" si="6"/>
        <v>Jan</v>
      </c>
      <c r="C92" t="s">
        <v>154</v>
      </c>
      <c r="D92" t="s">
        <v>155</v>
      </c>
      <c r="E92" t="s">
        <v>160</v>
      </c>
      <c r="F92" t="s">
        <v>163</v>
      </c>
      <c r="G92">
        <v>169.33</v>
      </c>
      <c r="H92">
        <v>3.52</v>
      </c>
      <c r="I92" s="2">
        <v>0.2</v>
      </c>
      <c r="J92">
        <v>3</v>
      </c>
      <c r="K92" s="2">
        <f>Table1[[#This Row],[Profit]]/Table1[[#This Row],[Sales]]</f>
        <v>2.0787810783676842E-2</v>
      </c>
      <c r="L92" s="2" t="str">
        <f t="shared" si="7"/>
        <v>High Discount</v>
      </c>
      <c r="M92" s="2" t="str">
        <f t="shared" si="8"/>
        <v>Low Profit</v>
      </c>
    </row>
    <row r="93" spans="1:13">
      <c r="A93" t="s">
        <v>89</v>
      </c>
      <c r="B93" t="str">
        <f t="shared" si="6"/>
        <v>May</v>
      </c>
      <c r="C93" t="s">
        <v>153</v>
      </c>
      <c r="D93" t="s">
        <v>157</v>
      </c>
      <c r="E93" t="s">
        <v>158</v>
      </c>
      <c r="F93" t="s">
        <v>161</v>
      </c>
      <c r="G93">
        <v>4355.46</v>
      </c>
      <c r="H93">
        <v>84.02</v>
      </c>
      <c r="I93" s="2">
        <v>0.15</v>
      </c>
      <c r="J93">
        <v>8</v>
      </c>
      <c r="K93" s="2">
        <f>Table1[[#This Row],[Profit]]/Table1[[#This Row],[Sales]]</f>
        <v>1.9290729337429341E-2</v>
      </c>
      <c r="L93" s="2" t="str">
        <f t="shared" si="7"/>
        <v>Medium Discount</v>
      </c>
      <c r="M93" s="2" t="str">
        <f t="shared" si="8"/>
        <v>Low Profit</v>
      </c>
    </row>
    <row r="94" spans="1:13">
      <c r="A94" t="s">
        <v>90</v>
      </c>
      <c r="B94" t="str">
        <f t="shared" si="6"/>
        <v>Sep</v>
      </c>
      <c r="C94" t="s">
        <v>151</v>
      </c>
      <c r="D94" t="s">
        <v>156</v>
      </c>
      <c r="E94" t="s">
        <v>160</v>
      </c>
      <c r="F94" t="s">
        <v>163</v>
      </c>
      <c r="G94">
        <v>1003.38</v>
      </c>
      <c r="H94">
        <v>100.84</v>
      </c>
      <c r="I94" s="2">
        <v>0</v>
      </c>
      <c r="J94">
        <v>7</v>
      </c>
      <c r="K94" s="2">
        <f>Table1[[#This Row],[Profit]]/Table1[[#This Row],[Sales]]</f>
        <v>0.10050030895572963</v>
      </c>
      <c r="L94" s="2" t="str">
        <f t="shared" si="7"/>
        <v>Low Discount</v>
      </c>
      <c r="M94" s="2" t="str">
        <f t="shared" si="8"/>
        <v>High Profit</v>
      </c>
    </row>
    <row r="95" spans="1:13">
      <c r="A95" t="s">
        <v>91</v>
      </c>
      <c r="B95" t="str">
        <f t="shared" si="6"/>
        <v>Oct</v>
      </c>
      <c r="C95" t="s">
        <v>154</v>
      </c>
      <c r="D95" t="s">
        <v>156</v>
      </c>
      <c r="E95" t="s">
        <v>160</v>
      </c>
      <c r="F95" t="s">
        <v>164</v>
      </c>
      <c r="G95">
        <v>463</v>
      </c>
      <c r="H95">
        <v>37.200000000000003</v>
      </c>
      <c r="I95" s="2">
        <v>0</v>
      </c>
      <c r="J95">
        <v>4</v>
      </c>
      <c r="K95" s="2">
        <f>Table1[[#This Row],[Profit]]/Table1[[#This Row],[Sales]]</f>
        <v>8.0345572354211664E-2</v>
      </c>
      <c r="L95" s="2" t="str">
        <f t="shared" si="7"/>
        <v>Low Discount</v>
      </c>
      <c r="M95" s="2" t="str">
        <f t="shared" si="8"/>
        <v>Low Profit</v>
      </c>
    </row>
    <row r="96" spans="1:13">
      <c r="A96" t="s">
        <v>92</v>
      </c>
      <c r="B96" t="str">
        <f t="shared" si="6"/>
        <v>Apr</v>
      </c>
      <c r="C96" t="s">
        <v>153</v>
      </c>
      <c r="D96" t="s">
        <v>157</v>
      </c>
      <c r="E96" t="s">
        <v>159</v>
      </c>
      <c r="F96" t="s">
        <v>162</v>
      </c>
      <c r="G96">
        <v>2834.56</v>
      </c>
      <c r="H96">
        <v>119.59</v>
      </c>
      <c r="I96" s="2">
        <v>0.15</v>
      </c>
      <c r="J96">
        <v>8</v>
      </c>
      <c r="K96" s="2">
        <f>Table1[[#This Row],[Profit]]/Table1[[#This Row],[Sales]]</f>
        <v>4.2189969519078802E-2</v>
      </c>
      <c r="L96" s="2" t="str">
        <f t="shared" si="7"/>
        <v>Medium Discount</v>
      </c>
      <c r="M96" s="2" t="str">
        <f t="shared" si="8"/>
        <v>High Profit</v>
      </c>
    </row>
    <row r="97" spans="1:13">
      <c r="A97" t="s">
        <v>63</v>
      </c>
      <c r="B97" t="str">
        <f t="shared" si="6"/>
        <v>Nov</v>
      </c>
      <c r="C97" t="s">
        <v>151</v>
      </c>
      <c r="D97" t="s">
        <v>156</v>
      </c>
      <c r="E97" t="s">
        <v>160</v>
      </c>
      <c r="F97" t="s">
        <v>163</v>
      </c>
      <c r="G97">
        <v>4314.82</v>
      </c>
      <c r="H97">
        <v>-4.43</v>
      </c>
      <c r="I97" s="2">
        <v>0.15</v>
      </c>
      <c r="J97">
        <v>4</v>
      </c>
      <c r="K97" s="2">
        <f>Table1[[#This Row],[Profit]]/Table1[[#This Row],[Sales]]</f>
        <v>-1.026694045174538E-3</v>
      </c>
      <c r="L97" s="2" t="str">
        <f t="shared" si="7"/>
        <v>Medium Discount</v>
      </c>
      <c r="M97" s="2" t="str">
        <f t="shared" si="8"/>
        <v>Loss-Making</v>
      </c>
    </row>
    <row r="98" spans="1:13">
      <c r="A98" t="s">
        <v>93</v>
      </c>
      <c r="B98" t="str">
        <f t="shared" ref="B98:B129" si="9">TEXT(A98,"mmm")</f>
        <v>Oct</v>
      </c>
      <c r="C98" t="s">
        <v>151</v>
      </c>
      <c r="D98" t="s">
        <v>156</v>
      </c>
      <c r="E98" t="s">
        <v>160</v>
      </c>
      <c r="F98" t="s">
        <v>163</v>
      </c>
      <c r="G98">
        <v>3336.1</v>
      </c>
      <c r="H98">
        <v>326.85000000000002</v>
      </c>
      <c r="I98" s="2">
        <v>0.05</v>
      </c>
      <c r="J98">
        <v>1</v>
      </c>
      <c r="K98" s="2">
        <f>Table1[[#This Row],[Profit]]/Table1[[#This Row],[Sales]]</f>
        <v>9.7973681844069432E-2</v>
      </c>
      <c r="L98" s="2" t="str">
        <f t="shared" ref="L98:L129" si="10">IF(I98&lt;=0.05,"Low Discount",
IF(I98&lt;=0.15,"Medium Discount",
"High Discount"))</f>
        <v>Low Discount</v>
      </c>
      <c r="M98" s="2" t="str">
        <f t="shared" ref="M98:M129" si="11">IF(H98&lt;0,"Loss-Making",
IF(H98&lt;100,"Low Profit",
"High Profit"))</f>
        <v>High Profit</v>
      </c>
    </row>
    <row r="99" spans="1:13">
      <c r="A99" t="s">
        <v>94</v>
      </c>
      <c r="B99" t="str">
        <f t="shared" si="9"/>
        <v>May</v>
      </c>
      <c r="C99" t="s">
        <v>154</v>
      </c>
      <c r="D99" t="s">
        <v>155</v>
      </c>
      <c r="E99" t="s">
        <v>160</v>
      </c>
      <c r="F99" t="s">
        <v>164</v>
      </c>
      <c r="G99">
        <v>2307.4699999999998</v>
      </c>
      <c r="H99">
        <v>209.33</v>
      </c>
      <c r="I99" s="2">
        <v>0.2</v>
      </c>
      <c r="J99">
        <v>8</v>
      </c>
      <c r="K99" s="2">
        <f>Table1[[#This Row],[Profit]]/Table1[[#This Row],[Sales]]</f>
        <v>9.0718405873099123E-2</v>
      </c>
      <c r="L99" s="2" t="str">
        <f t="shared" si="10"/>
        <v>High Discount</v>
      </c>
      <c r="M99" s="2" t="str">
        <f t="shared" si="11"/>
        <v>High Profit</v>
      </c>
    </row>
    <row r="100" spans="1:13">
      <c r="A100" t="s">
        <v>95</v>
      </c>
      <c r="B100" t="str">
        <f t="shared" si="9"/>
        <v>Nov</v>
      </c>
      <c r="C100" t="s">
        <v>152</v>
      </c>
      <c r="D100" t="s">
        <v>157</v>
      </c>
      <c r="E100" t="s">
        <v>159</v>
      </c>
      <c r="F100" t="s">
        <v>162</v>
      </c>
      <c r="G100">
        <v>3468.19</v>
      </c>
      <c r="H100">
        <v>719.88</v>
      </c>
      <c r="I100" s="2">
        <v>0.1</v>
      </c>
      <c r="J100">
        <v>2</v>
      </c>
      <c r="K100" s="2">
        <f>Table1[[#This Row],[Profit]]/Table1[[#This Row],[Sales]]</f>
        <v>0.20756648280515197</v>
      </c>
      <c r="L100" s="2" t="str">
        <f t="shared" si="10"/>
        <v>Medium Discount</v>
      </c>
      <c r="M100" s="2" t="str">
        <f t="shared" si="11"/>
        <v>High Profit</v>
      </c>
    </row>
    <row r="101" spans="1:13">
      <c r="A101" t="s">
        <v>96</v>
      </c>
      <c r="B101" t="str">
        <f t="shared" si="9"/>
        <v>Mar</v>
      </c>
      <c r="C101" t="s">
        <v>151</v>
      </c>
      <c r="D101" t="s">
        <v>156</v>
      </c>
      <c r="E101" t="s">
        <v>158</v>
      </c>
      <c r="F101" t="s">
        <v>165</v>
      </c>
      <c r="G101">
        <v>1201.57</v>
      </c>
      <c r="H101">
        <v>278.38</v>
      </c>
      <c r="I101" s="2">
        <v>0.05</v>
      </c>
      <c r="J101">
        <v>3</v>
      </c>
      <c r="K101" s="2">
        <f>Table1[[#This Row],[Profit]]/Table1[[#This Row],[Sales]]</f>
        <v>0.2316802183809516</v>
      </c>
      <c r="L101" s="2" t="str">
        <f t="shared" si="10"/>
        <v>Low Discount</v>
      </c>
      <c r="M101" s="2" t="str">
        <f t="shared" si="11"/>
        <v>High Profit</v>
      </c>
    </row>
    <row r="102" spans="1:13">
      <c r="A102" t="s">
        <v>97</v>
      </c>
      <c r="B102" t="str">
        <f t="shared" si="9"/>
        <v>Aug</v>
      </c>
      <c r="C102" t="s">
        <v>154</v>
      </c>
      <c r="D102" t="s">
        <v>155</v>
      </c>
      <c r="E102" t="s">
        <v>160</v>
      </c>
      <c r="F102" t="s">
        <v>163</v>
      </c>
      <c r="G102">
        <v>3015.72</v>
      </c>
      <c r="H102">
        <v>423.18</v>
      </c>
      <c r="I102" s="2">
        <v>0.2</v>
      </c>
      <c r="J102">
        <v>7</v>
      </c>
      <c r="K102" s="2">
        <f>Table1[[#This Row],[Profit]]/Table1[[#This Row],[Sales]]</f>
        <v>0.14032469857944371</v>
      </c>
      <c r="L102" s="2" t="str">
        <f t="shared" si="10"/>
        <v>High Discount</v>
      </c>
      <c r="M102" s="2" t="str">
        <f t="shared" si="11"/>
        <v>High Profit</v>
      </c>
    </row>
    <row r="103" spans="1:13">
      <c r="A103" t="s">
        <v>98</v>
      </c>
      <c r="B103" t="str">
        <f t="shared" si="9"/>
        <v>Aug</v>
      </c>
      <c r="C103" t="s">
        <v>154</v>
      </c>
      <c r="D103" t="s">
        <v>155</v>
      </c>
      <c r="E103" t="s">
        <v>160</v>
      </c>
      <c r="F103" t="s">
        <v>163</v>
      </c>
      <c r="G103">
        <v>2552.31</v>
      </c>
      <c r="H103">
        <v>70.819999999999993</v>
      </c>
      <c r="I103" s="2">
        <v>0.15</v>
      </c>
      <c r="J103">
        <v>5</v>
      </c>
      <c r="K103" s="2">
        <f>Table1[[#This Row],[Profit]]/Table1[[#This Row],[Sales]]</f>
        <v>2.7747413127715673E-2</v>
      </c>
      <c r="L103" s="2" t="str">
        <f t="shared" si="10"/>
        <v>Medium Discount</v>
      </c>
      <c r="M103" s="2" t="str">
        <f t="shared" si="11"/>
        <v>Low Profit</v>
      </c>
    </row>
    <row r="104" spans="1:13">
      <c r="A104" t="s">
        <v>99</v>
      </c>
      <c r="B104" t="str">
        <f t="shared" si="9"/>
        <v>Dec</v>
      </c>
      <c r="C104" t="s">
        <v>154</v>
      </c>
      <c r="D104" t="s">
        <v>155</v>
      </c>
      <c r="E104" t="s">
        <v>159</v>
      </c>
      <c r="F104" t="s">
        <v>162</v>
      </c>
      <c r="G104">
        <v>547.5</v>
      </c>
      <c r="H104">
        <v>63.15</v>
      </c>
      <c r="I104" s="2">
        <v>0.2</v>
      </c>
      <c r="J104">
        <v>1</v>
      </c>
      <c r="K104" s="2">
        <f>Table1[[#This Row],[Profit]]/Table1[[#This Row],[Sales]]</f>
        <v>0.11534246575342466</v>
      </c>
      <c r="L104" s="2" t="str">
        <f t="shared" si="10"/>
        <v>High Discount</v>
      </c>
      <c r="M104" s="2" t="str">
        <f t="shared" si="11"/>
        <v>Low Profit</v>
      </c>
    </row>
    <row r="105" spans="1:13">
      <c r="A105" t="s">
        <v>100</v>
      </c>
      <c r="B105" t="str">
        <f t="shared" si="9"/>
        <v>Oct</v>
      </c>
      <c r="C105" t="s">
        <v>153</v>
      </c>
      <c r="D105" t="s">
        <v>155</v>
      </c>
      <c r="E105" t="s">
        <v>159</v>
      </c>
      <c r="F105" t="s">
        <v>166</v>
      </c>
      <c r="G105">
        <v>2405.4499999999998</v>
      </c>
      <c r="H105">
        <v>397.06</v>
      </c>
      <c r="I105" s="2">
        <v>0.15</v>
      </c>
      <c r="J105">
        <v>8</v>
      </c>
      <c r="K105" s="2">
        <f>Table1[[#This Row],[Profit]]/Table1[[#This Row],[Sales]]</f>
        <v>0.16506682741275022</v>
      </c>
      <c r="L105" s="2" t="str">
        <f t="shared" si="10"/>
        <v>Medium Discount</v>
      </c>
      <c r="M105" s="2" t="str">
        <f t="shared" si="11"/>
        <v>High Profit</v>
      </c>
    </row>
    <row r="106" spans="1:13">
      <c r="A106" t="s">
        <v>27</v>
      </c>
      <c r="B106" t="str">
        <f t="shared" si="9"/>
        <v>Mar</v>
      </c>
      <c r="C106" t="s">
        <v>154</v>
      </c>
      <c r="D106" t="s">
        <v>157</v>
      </c>
      <c r="E106" t="s">
        <v>159</v>
      </c>
      <c r="F106" t="s">
        <v>162</v>
      </c>
      <c r="G106">
        <v>2403.0500000000002</v>
      </c>
      <c r="H106">
        <v>-0.85</v>
      </c>
      <c r="I106" s="2">
        <v>0.15</v>
      </c>
      <c r="J106">
        <v>8</v>
      </c>
      <c r="K106" s="2">
        <f>Table1[[#This Row],[Profit]]/Table1[[#This Row],[Sales]]</f>
        <v>-3.5371715112045103E-4</v>
      </c>
      <c r="L106" s="2" t="str">
        <f t="shared" si="10"/>
        <v>Medium Discount</v>
      </c>
      <c r="M106" s="2" t="str">
        <f t="shared" si="11"/>
        <v>Loss-Making</v>
      </c>
    </row>
    <row r="107" spans="1:13">
      <c r="A107" t="s">
        <v>101</v>
      </c>
      <c r="B107" t="str">
        <f t="shared" si="9"/>
        <v>Aug</v>
      </c>
      <c r="C107" t="s">
        <v>151</v>
      </c>
      <c r="D107" t="s">
        <v>157</v>
      </c>
      <c r="E107" t="s">
        <v>160</v>
      </c>
      <c r="F107" t="s">
        <v>163</v>
      </c>
      <c r="G107">
        <v>3346.66</v>
      </c>
      <c r="H107">
        <v>360.45</v>
      </c>
      <c r="I107" s="2">
        <v>0.15</v>
      </c>
      <c r="J107">
        <v>5</v>
      </c>
      <c r="K107" s="2">
        <f>Table1[[#This Row],[Profit]]/Table1[[#This Row],[Sales]]</f>
        <v>0.10770439781752554</v>
      </c>
      <c r="L107" s="2" t="str">
        <f t="shared" si="10"/>
        <v>Medium Discount</v>
      </c>
      <c r="M107" s="2" t="str">
        <f t="shared" si="11"/>
        <v>High Profit</v>
      </c>
    </row>
    <row r="108" spans="1:13">
      <c r="A108" t="s">
        <v>102</v>
      </c>
      <c r="B108" t="str">
        <f t="shared" si="9"/>
        <v>Jan</v>
      </c>
      <c r="C108" t="s">
        <v>153</v>
      </c>
      <c r="D108" t="s">
        <v>157</v>
      </c>
      <c r="E108" t="s">
        <v>160</v>
      </c>
      <c r="F108" t="s">
        <v>163</v>
      </c>
      <c r="G108">
        <v>668.02</v>
      </c>
      <c r="H108">
        <v>60.45</v>
      </c>
      <c r="I108" s="2">
        <v>0.15</v>
      </c>
      <c r="J108">
        <v>1</v>
      </c>
      <c r="K108" s="2">
        <f>Table1[[#This Row],[Profit]]/Table1[[#This Row],[Sales]]</f>
        <v>9.0491302655609118E-2</v>
      </c>
      <c r="L108" s="2" t="str">
        <f t="shared" si="10"/>
        <v>Medium Discount</v>
      </c>
      <c r="M108" s="2" t="str">
        <f t="shared" si="11"/>
        <v>Low Profit</v>
      </c>
    </row>
    <row r="109" spans="1:13">
      <c r="A109" t="s">
        <v>103</v>
      </c>
      <c r="B109" t="str">
        <f t="shared" si="9"/>
        <v>Jan</v>
      </c>
      <c r="C109" t="s">
        <v>152</v>
      </c>
      <c r="D109" t="s">
        <v>157</v>
      </c>
      <c r="E109" t="s">
        <v>159</v>
      </c>
      <c r="F109" t="s">
        <v>166</v>
      </c>
      <c r="G109">
        <v>2640.35</v>
      </c>
      <c r="H109">
        <v>234.33</v>
      </c>
      <c r="I109" s="2">
        <v>0.2</v>
      </c>
      <c r="J109">
        <v>9</v>
      </c>
      <c r="K109" s="2">
        <f>Table1[[#This Row],[Profit]]/Table1[[#This Row],[Sales]]</f>
        <v>8.8749597591228441E-2</v>
      </c>
      <c r="L109" s="2" t="str">
        <f t="shared" si="10"/>
        <v>High Discount</v>
      </c>
      <c r="M109" s="2" t="str">
        <f t="shared" si="11"/>
        <v>High Profit</v>
      </c>
    </row>
    <row r="110" spans="1:13">
      <c r="A110" t="s">
        <v>104</v>
      </c>
      <c r="B110" t="str">
        <f t="shared" si="9"/>
        <v>Jan</v>
      </c>
      <c r="C110" t="s">
        <v>152</v>
      </c>
      <c r="D110" t="s">
        <v>155</v>
      </c>
      <c r="E110" t="s">
        <v>159</v>
      </c>
      <c r="F110" t="s">
        <v>166</v>
      </c>
      <c r="G110">
        <v>4645.6000000000004</v>
      </c>
      <c r="H110">
        <v>593.23</v>
      </c>
      <c r="I110" s="2">
        <v>0.15</v>
      </c>
      <c r="J110">
        <v>3</v>
      </c>
      <c r="K110" s="2">
        <f>Table1[[#This Row],[Profit]]/Table1[[#This Row],[Sales]]</f>
        <v>0.12769717582228343</v>
      </c>
      <c r="L110" s="2" t="str">
        <f t="shared" si="10"/>
        <v>Medium Discount</v>
      </c>
      <c r="M110" s="2" t="str">
        <f t="shared" si="11"/>
        <v>High Profit</v>
      </c>
    </row>
    <row r="111" spans="1:13">
      <c r="A111" t="s">
        <v>105</v>
      </c>
      <c r="B111" t="str">
        <f t="shared" si="9"/>
        <v>Feb</v>
      </c>
      <c r="C111" t="s">
        <v>153</v>
      </c>
      <c r="D111" t="s">
        <v>156</v>
      </c>
      <c r="E111" t="s">
        <v>160</v>
      </c>
      <c r="F111" t="s">
        <v>163</v>
      </c>
      <c r="G111">
        <v>2799.11</v>
      </c>
      <c r="H111">
        <v>165.51</v>
      </c>
      <c r="I111" s="2">
        <v>0.2</v>
      </c>
      <c r="J111">
        <v>3</v>
      </c>
      <c r="K111" s="2">
        <f>Table1[[#This Row],[Profit]]/Table1[[#This Row],[Sales]]</f>
        <v>5.9129509022510719E-2</v>
      </c>
      <c r="L111" s="2" t="str">
        <f t="shared" si="10"/>
        <v>High Discount</v>
      </c>
      <c r="M111" s="2" t="str">
        <f t="shared" si="11"/>
        <v>High Profit</v>
      </c>
    </row>
    <row r="112" spans="1:13">
      <c r="A112" t="s">
        <v>67</v>
      </c>
      <c r="B112" t="str">
        <f t="shared" si="9"/>
        <v>May</v>
      </c>
      <c r="C112" t="s">
        <v>153</v>
      </c>
      <c r="D112" t="s">
        <v>157</v>
      </c>
      <c r="E112" t="s">
        <v>160</v>
      </c>
      <c r="F112" t="s">
        <v>164</v>
      </c>
      <c r="G112">
        <v>4670</v>
      </c>
      <c r="H112">
        <v>708.79</v>
      </c>
      <c r="I112" s="2">
        <v>0.1</v>
      </c>
      <c r="J112">
        <v>8</v>
      </c>
      <c r="K112" s="2">
        <f>Table1[[#This Row],[Profit]]/Table1[[#This Row],[Sales]]</f>
        <v>0.15177516059957172</v>
      </c>
      <c r="L112" s="2" t="str">
        <f t="shared" si="10"/>
        <v>Medium Discount</v>
      </c>
      <c r="M112" s="2" t="str">
        <f t="shared" si="11"/>
        <v>High Profit</v>
      </c>
    </row>
    <row r="113" spans="1:13">
      <c r="A113" t="s">
        <v>106</v>
      </c>
      <c r="B113" t="str">
        <f t="shared" si="9"/>
        <v>Nov</v>
      </c>
      <c r="C113" t="s">
        <v>152</v>
      </c>
      <c r="D113" t="s">
        <v>156</v>
      </c>
      <c r="E113" t="s">
        <v>159</v>
      </c>
      <c r="F113" t="s">
        <v>166</v>
      </c>
      <c r="G113">
        <v>2338.25</v>
      </c>
      <c r="H113">
        <v>296.3</v>
      </c>
      <c r="I113" s="2">
        <v>0.05</v>
      </c>
      <c r="J113">
        <v>5</v>
      </c>
      <c r="K113" s="2">
        <f>Table1[[#This Row],[Profit]]/Table1[[#This Row],[Sales]]</f>
        <v>0.12671869988239068</v>
      </c>
      <c r="L113" s="2" t="str">
        <f t="shared" si="10"/>
        <v>Low Discount</v>
      </c>
      <c r="M113" s="2" t="str">
        <f t="shared" si="11"/>
        <v>High Profit</v>
      </c>
    </row>
    <row r="114" spans="1:13">
      <c r="A114" t="s">
        <v>70</v>
      </c>
      <c r="B114" t="str">
        <f t="shared" si="9"/>
        <v>Jun</v>
      </c>
      <c r="C114" t="s">
        <v>153</v>
      </c>
      <c r="D114" t="s">
        <v>156</v>
      </c>
      <c r="E114" t="s">
        <v>160</v>
      </c>
      <c r="F114" t="s">
        <v>164</v>
      </c>
      <c r="G114">
        <v>1765.39</v>
      </c>
      <c r="H114">
        <v>93.88</v>
      </c>
      <c r="I114" s="2">
        <v>0.2</v>
      </c>
      <c r="J114">
        <v>8</v>
      </c>
      <c r="K114" s="2">
        <f>Table1[[#This Row],[Profit]]/Table1[[#This Row],[Sales]]</f>
        <v>5.317805130877596E-2</v>
      </c>
      <c r="L114" s="2" t="str">
        <f t="shared" si="10"/>
        <v>High Discount</v>
      </c>
      <c r="M114" s="2" t="str">
        <f t="shared" si="11"/>
        <v>Low Profit</v>
      </c>
    </row>
    <row r="115" spans="1:13">
      <c r="A115" t="s">
        <v>107</v>
      </c>
      <c r="B115" t="str">
        <f t="shared" si="9"/>
        <v>Oct</v>
      </c>
      <c r="C115" t="s">
        <v>153</v>
      </c>
      <c r="D115" t="s">
        <v>157</v>
      </c>
      <c r="E115" t="s">
        <v>158</v>
      </c>
      <c r="F115" t="s">
        <v>165</v>
      </c>
      <c r="G115">
        <v>2473.27</v>
      </c>
      <c r="H115">
        <v>396.67</v>
      </c>
      <c r="I115" s="2">
        <v>0.1</v>
      </c>
      <c r="J115">
        <v>6</v>
      </c>
      <c r="K115" s="2">
        <f>Table1[[#This Row],[Profit]]/Table1[[#This Row],[Sales]]</f>
        <v>0.16038281303699153</v>
      </c>
      <c r="L115" s="2" t="str">
        <f t="shared" si="10"/>
        <v>Medium Discount</v>
      </c>
      <c r="M115" s="2" t="str">
        <f t="shared" si="11"/>
        <v>High Profit</v>
      </c>
    </row>
    <row r="116" spans="1:13">
      <c r="A116" t="s">
        <v>108</v>
      </c>
      <c r="B116" t="str">
        <f t="shared" si="9"/>
        <v>Apr</v>
      </c>
      <c r="C116" t="s">
        <v>153</v>
      </c>
      <c r="D116" t="s">
        <v>156</v>
      </c>
      <c r="E116" t="s">
        <v>159</v>
      </c>
      <c r="F116" t="s">
        <v>166</v>
      </c>
      <c r="G116">
        <v>4905.8</v>
      </c>
      <c r="H116">
        <v>806.31</v>
      </c>
      <c r="I116" s="2">
        <v>0.05</v>
      </c>
      <c r="J116">
        <v>6</v>
      </c>
      <c r="K116" s="2">
        <f>Table1[[#This Row],[Profit]]/Table1[[#This Row],[Sales]]</f>
        <v>0.16435851441151289</v>
      </c>
      <c r="L116" s="2" t="str">
        <f t="shared" si="10"/>
        <v>Low Discount</v>
      </c>
      <c r="M116" s="2" t="str">
        <f t="shared" si="11"/>
        <v>High Profit</v>
      </c>
    </row>
    <row r="117" spans="1:13">
      <c r="A117" t="s">
        <v>109</v>
      </c>
      <c r="B117" t="str">
        <f t="shared" si="9"/>
        <v>Nov</v>
      </c>
      <c r="C117" t="s">
        <v>152</v>
      </c>
      <c r="D117" t="s">
        <v>157</v>
      </c>
      <c r="E117" t="s">
        <v>158</v>
      </c>
      <c r="F117" t="s">
        <v>161</v>
      </c>
      <c r="G117">
        <v>2417.58</v>
      </c>
      <c r="H117">
        <v>26.22</v>
      </c>
      <c r="I117" s="2">
        <v>0.15</v>
      </c>
      <c r="J117">
        <v>1</v>
      </c>
      <c r="K117" s="2">
        <f>Table1[[#This Row],[Profit]]/Table1[[#This Row],[Sales]]</f>
        <v>1.0845556300101755E-2</v>
      </c>
      <c r="L117" s="2" t="str">
        <f t="shared" si="10"/>
        <v>Medium Discount</v>
      </c>
      <c r="M117" s="2" t="str">
        <f t="shared" si="11"/>
        <v>Low Profit</v>
      </c>
    </row>
    <row r="118" spans="1:13">
      <c r="A118" t="s">
        <v>110</v>
      </c>
      <c r="B118" t="str">
        <f t="shared" si="9"/>
        <v>Aug</v>
      </c>
      <c r="C118" t="s">
        <v>151</v>
      </c>
      <c r="D118" t="s">
        <v>155</v>
      </c>
      <c r="E118" t="s">
        <v>159</v>
      </c>
      <c r="F118" t="s">
        <v>166</v>
      </c>
      <c r="G118">
        <v>2561.23</v>
      </c>
      <c r="H118">
        <v>144.36000000000001</v>
      </c>
      <c r="I118" s="2">
        <v>0.2</v>
      </c>
      <c r="J118">
        <v>8</v>
      </c>
      <c r="K118" s="2">
        <f>Table1[[#This Row],[Profit]]/Table1[[#This Row],[Sales]]</f>
        <v>5.6363544078431069E-2</v>
      </c>
      <c r="L118" s="2" t="str">
        <f t="shared" si="10"/>
        <v>High Discount</v>
      </c>
      <c r="M118" s="2" t="str">
        <f t="shared" si="11"/>
        <v>High Profit</v>
      </c>
    </row>
    <row r="119" spans="1:13">
      <c r="A119" t="s">
        <v>111</v>
      </c>
      <c r="B119" t="str">
        <f t="shared" si="9"/>
        <v>Feb</v>
      </c>
      <c r="C119" t="s">
        <v>153</v>
      </c>
      <c r="D119" t="s">
        <v>157</v>
      </c>
      <c r="E119" t="s">
        <v>159</v>
      </c>
      <c r="F119" t="s">
        <v>162</v>
      </c>
      <c r="G119">
        <v>3639.97</v>
      </c>
      <c r="H119">
        <v>280.97000000000003</v>
      </c>
      <c r="I119" s="2">
        <v>0.15</v>
      </c>
      <c r="J119">
        <v>6</v>
      </c>
      <c r="K119" s="2">
        <f>Table1[[#This Row],[Profit]]/Table1[[#This Row],[Sales]]</f>
        <v>7.7190196622499652E-2</v>
      </c>
      <c r="L119" s="2" t="str">
        <f t="shared" si="10"/>
        <v>Medium Discount</v>
      </c>
      <c r="M119" s="2" t="str">
        <f t="shared" si="11"/>
        <v>High Profit</v>
      </c>
    </row>
    <row r="120" spans="1:13">
      <c r="A120" t="s">
        <v>112</v>
      </c>
      <c r="B120" t="str">
        <f t="shared" si="9"/>
        <v>Dec</v>
      </c>
      <c r="C120" t="s">
        <v>153</v>
      </c>
      <c r="D120" t="s">
        <v>157</v>
      </c>
      <c r="E120" t="s">
        <v>158</v>
      </c>
      <c r="F120" t="s">
        <v>165</v>
      </c>
      <c r="G120">
        <v>3494.25</v>
      </c>
      <c r="H120">
        <v>769.97</v>
      </c>
      <c r="I120" s="2">
        <v>0</v>
      </c>
      <c r="J120">
        <v>8</v>
      </c>
      <c r="K120" s="2">
        <f>Table1[[#This Row],[Profit]]/Table1[[#This Row],[Sales]]</f>
        <v>0.22035343779065608</v>
      </c>
      <c r="L120" s="2" t="str">
        <f t="shared" si="10"/>
        <v>Low Discount</v>
      </c>
      <c r="M120" s="2" t="str">
        <f t="shared" si="11"/>
        <v>High Profit</v>
      </c>
    </row>
    <row r="121" spans="1:13">
      <c r="A121" t="s">
        <v>113</v>
      </c>
      <c r="B121" t="str">
        <f t="shared" si="9"/>
        <v>Dec</v>
      </c>
      <c r="C121" t="s">
        <v>154</v>
      </c>
      <c r="D121" t="s">
        <v>156</v>
      </c>
      <c r="E121" t="s">
        <v>158</v>
      </c>
      <c r="F121" t="s">
        <v>165</v>
      </c>
      <c r="G121">
        <v>275.91000000000003</v>
      </c>
      <c r="H121">
        <v>26.75</v>
      </c>
      <c r="I121" s="2">
        <v>0</v>
      </c>
      <c r="J121">
        <v>2</v>
      </c>
      <c r="K121" s="2">
        <f>Table1[[#This Row],[Profit]]/Table1[[#This Row],[Sales]]</f>
        <v>9.6951904606574602E-2</v>
      </c>
      <c r="L121" s="2" t="str">
        <f t="shared" si="10"/>
        <v>Low Discount</v>
      </c>
      <c r="M121" s="2" t="str">
        <f t="shared" si="11"/>
        <v>Low Profit</v>
      </c>
    </row>
    <row r="122" spans="1:13">
      <c r="A122" t="s">
        <v>114</v>
      </c>
      <c r="B122" t="str">
        <f t="shared" si="9"/>
        <v>Dec</v>
      </c>
      <c r="C122" t="s">
        <v>154</v>
      </c>
      <c r="D122" t="s">
        <v>156</v>
      </c>
      <c r="E122" t="s">
        <v>160</v>
      </c>
      <c r="F122" t="s">
        <v>164</v>
      </c>
      <c r="G122">
        <v>4893.8500000000004</v>
      </c>
      <c r="H122">
        <v>678.95</v>
      </c>
      <c r="I122" s="2">
        <v>0</v>
      </c>
      <c r="J122">
        <v>1</v>
      </c>
      <c r="K122" s="2">
        <f>Table1[[#This Row],[Profit]]/Table1[[#This Row],[Sales]]</f>
        <v>0.13873535151261276</v>
      </c>
      <c r="L122" s="2" t="str">
        <f t="shared" si="10"/>
        <v>Low Discount</v>
      </c>
      <c r="M122" s="2" t="str">
        <f t="shared" si="11"/>
        <v>High Profit</v>
      </c>
    </row>
    <row r="123" spans="1:13">
      <c r="A123" t="s">
        <v>115</v>
      </c>
      <c r="B123" t="str">
        <f t="shared" si="9"/>
        <v>Aug</v>
      </c>
      <c r="C123" t="s">
        <v>152</v>
      </c>
      <c r="D123" t="s">
        <v>156</v>
      </c>
      <c r="E123" t="s">
        <v>160</v>
      </c>
      <c r="F123" t="s">
        <v>163</v>
      </c>
      <c r="G123">
        <v>4001.1</v>
      </c>
      <c r="H123">
        <v>486.9</v>
      </c>
      <c r="I123" s="2">
        <v>0.1</v>
      </c>
      <c r="J123">
        <v>9</v>
      </c>
      <c r="K123" s="2">
        <f>Table1[[#This Row],[Profit]]/Table1[[#This Row],[Sales]]</f>
        <v>0.12169153482792232</v>
      </c>
      <c r="L123" s="2" t="str">
        <f t="shared" si="10"/>
        <v>Medium Discount</v>
      </c>
      <c r="M123" s="2" t="str">
        <f t="shared" si="11"/>
        <v>High Profit</v>
      </c>
    </row>
    <row r="124" spans="1:13">
      <c r="A124" t="s">
        <v>16</v>
      </c>
      <c r="B124" t="str">
        <f t="shared" si="9"/>
        <v>Feb</v>
      </c>
      <c r="C124" t="s">
        <v>153</v>
      </c>
      <c r="D124" t="s">
        <v>155</v>
      </c>
      <c r="E124" t="s">
        <v>160</v>
      </c>
      <c r="F124" t="s">
        <v>164</v>
      </c>
      <c r="G124">
        <v>2873.05</v>
      </c>
      <c r="H124">
        <v>241.33</v>
      </c>
      <c r="I124" s="2">
        <v>0.05</v>
      </c>
      <c r="J124">
        <v>4</v>
      </c>
      <c r="K124" s="2">
        <f>Table1[[#This Row],[Profit]]/Table1[[#This Row],[Sales]]</f>
        <v>8.399784201458381E-2</v>
      </c>
      <c r="L124" s="2" t="str">
        <f t="shared" si="10"/>
        <v>Low Discount</v>
      </c>
      <c r="M124" s="2" t="str">
        <f t="shared" si="11"/>
        <v>High Profit</v>
      </c>
    </row>
    <row r="125" spans="1:13">
      <c r="A125" t="s">
        <v>66</v>
      </c>
      <c r="B125" t="str">
        <f t="shared" si="9"/>
        <v>Nov</v>
      </c>
      <c r="C125" t="s">
        <v>154</v>
      </c>
      <c r="D125" t="s">
        <v>157</v>
      </c>
      <c r="E125" t="s">
        <v>160</v>
      </c>
      <c r="F125" t="s">
        <v>164</v>
      </c>
      <c r="G125">
        <v>4572.8599999999997</v>
      </c>
      <c r="H125">
        <v>441</v>
      </c>
      <c r="I125" s="2">
        <v>0.05</v>
      </c>
      <c r="J125">
        <v>5</v>
      </c>
      <c r="K125" s="2">
        <f>Table1[[#This Row],[Profit]]/Table1[[#This Row],[Sales]]</f>
        <v>9.6438552678192652E-2</v>
      </c>
      <c r="L125" s="2" t="str">
        <f t="shared" si="10"/>
        <v>Low Discount</v>
      </c>
      <c r="M125" s="2" t="str">
        <f t="shared" si="11"/>
        <v>High Profit</v>
      </c>
    </row>
    <row r="126" spans="1:13">
      <c r="A126" t="s">
        <v>40</v>
      </c>
      <c r="B126" t="str">
        <f t="shared" si="9"/>
        <v>Mar</v>
      </c>
      <c r="C126" t="s">
        <v>151</v>
      </c>
      <c r="D126" t="s">
        <v>157</v>
      </c>
      <c r="E126" t="s">
        <v>158</v>
      </c>
      <c r="F126" t="s">
        <v>161</v>
      </c>
      <c r="G126">
        <v>146.05000000000001</v>
      </c>
      <c r="H126">
        <v>16.43</v>
      </c>
      <c r="I126" s="2">
        <v>0.15</v>
      </c>
      <c r="J126">
        <v>6</v>
      </c>
      <c r="K126" s="2">
        <f>Table1[[#This Row],[Profit]]/Table1[[#This Row],[Sales]]</f>
        <v>0.1124957206436152</v>
      </c>
      <c r="L126" s="2" t="str">
        <f t="shared" si="10"/>
        <v>Medium Discount</v>
      </c>
      <c r="M126" s="2" t="str">
        <f t="shared" si="11"/>
        <v>Low Profit</v>
      </c>
    </row>
    <row r="127" spans="1:13">
      <c r="A127" t="s">
        <v>60</v>
      </c>
      <c r="B127" t="str">
        <f t="shared" si="9"/>
        <v>Jun</v>
      </c>
      <c r="C127" t="s">
        <v>152</v>
      </c>
      <c r="D127" t="s">
        <v>157</v>
      </c>
      <c r="E127" t="s">
        <v>158</v>
      </c>
      <c r="F127" t="s">
        <v>165</v>
      </c>
      <c r="G127">
        <v>1565.86</v>
      </c>
      <c r="H127">
        <v>144.65</v>
      </c>
      <c r="I127" s="2">
        <v>0.15</v>
      </c>
      <c r="J127">
        <v>8</v>
      </c>
      <c r="K127" s="2">
        <f>Table1[[#This Row],[Profit]]/Table1[[#This Row],[Sales]]</f>
        <v>9.2377351742812266E-2</v>
      </c>
      <c r="L127" s="2" t="str">
        <f t="shared" si="10"/>
        <v>Medium Discount</v>
      </c>
      <c r="M127" s="2" t="str">
        <f t="shared" si="11"/>
        <v>High Profit</v>
      </c>
    </row>
    <row r="128" spans="1:13">
      <c r="A128" t="s">
        <v>116</v>
      </c>
      <c r="B128" t="str">
        <f t="shared" si="9"/>
        <v>Dec</v>
      </c>
      <c r="C128" t="s">
        <v>154</v>
      </c>
      <c r="D128" t="s">
        <v>156</v>
      </c>
      <c r="E128" t="s">
        <v>159</v>
      </c>
      <c r="F128" t="s">
        <v>162</v>
      </c>
      <c r="G128">
        <v>1262.31</v>
      </c>
      <c r="H128">
        <v>53.28</v>
      </c>
      <c r="I128" s="2">
        <v>0.2</v>
      </c>
      <c r="J128">
        <v>7</v>
      </c>
      <c r="K128" s="2">
        <f>Table1[[#This Row],[Profit]]/Table1[[#This Row],[Sales]]</f>
        <v>4.2208332343085297E-2</v>
      </c>
      <c r="L128" s="2" t="str">
        <f t="shared" si="10"/>
        <v>High Discount</v>
      </c>
      <c r="M128" s="2" t="str">
        <f t="shared" si="11"/>
        <v>Low Profit</v>
      </c>
    </row>
    <row r="129" spans="1:13">
      <c r="A129" t="s">
        <v>117</v>
      </c>
      <c r="B129" t="str">
        <f t="shared" si="9"/>
        <v>Sep</v>
      </c>
      <c r="C129" t="s">
        <v>154</v>
      </c>
      <c r="D129" t="s">
        <v>156</v>
      </c>
      <c r="E129" t="s">
        <v>160</v>
      </c>
      <c r="F129" t="s">
        <v>163</v>
      </c>
      <c r="G129">
        <v>139.68</v>
      </c>
      <c r="H129">
        <v>32.42</v>
      </c>
      <c r="I129" s="2">
        <v>0</v>
      </c>
      <c r="J129">
        <v>10</v>
      </c>
      <c r="K129" s="2">
        <f>Table1[[#This Row],[Profit]]/Table1[[#This Row],[Sales]]</f>
        <v>0.23210194730813288</v>
      </c>
      <c r="L129" s="2" t="str">
        <f t="shared" si="10"/>
        <v>Low Discount</v>
      </c>
      <c r="M129" s="2" t="str">
        <f t="shared" si="11"/>
        <v>Low Profit</v>
      </c>
    </row>
    <row r="130" spans="1:13">
      <c r="A130" t="s">
        <v>118</v>
      </c>
      <c r="B130" t="str">
        <f t="shared" ref="B130:B161" si="12">TEXT(A130,"mmm")</f>
        <v>Dec</v>
      </c>
      <c r="C130" t="s">
        <v>152</v>
      </c>
      <c r="D130" t="s">
        <v>155</v>
      </c>
      <c r="E130" t="s">
        <v>160</v>
      </c>
      <c r="F130" t="s">
        <v>163</v>
      </c>
      <c r="G130">
        <v>1173.1199999999999</v>
      </c>
      <c r="H130">
        <v>204.33</v>
      </c>
      <c r="I130" s="2">
        <v>0.05</v>
      </c>
      <c r="J130">
        <v>2</v>
      </c>
      <c r="K130" s="2">
        <f>Table1[[#This Row],[Profit]]/Table1[[#This Row],[Sales]]</f>
        <v>0.17417655482815059</v>
      </c>
      <c r="L130" s="2" t="str">
        <f t="shared" ref="L130:L161" si="13">IF(I130&lt;=0.05,"Low Discount",
IF(I130&lt;=0.15,"Medium Discount",
"High Discount"))</f>
        <v>Low Discount</v>
      </c>
      <c r="M130" s="2" t="str">
        <f t="shared" ref="M130:M161" si="14">IF(H130&lt;0,"Loss-Making",
IF(H130&lt;100,"Low Profit",
"High Profit"))</f>
        <v>High Profit</v>
      </c>
    </row>
    <row r="131" spans="1:13">
      <c r="A131" t="s">
        <v>119</v>
      </c>
      <c r="B131" t="str">
        <f t="shared" si="12"/>
        <v>Jan</v>
      </c>
      <c r="C131" t="s">
        <v>154</v>
      </c>
      <c r="D131" t="s">
        <v>155</v>
      </c>
      <c r="E131" t="s">
        <v>158</v>
      </c>
      <c r="F131" t="s">
        <v>161</v>
      </c>
      <c r="G131">
        <v>3267.07</v>
      </c>
      <c r="H131">
        <v>678.64</v>
      </c>
      <c r="I131" s="2">
        <v>0.1</v>
      </c>
      <c r="J131">
        <v>3</v>
      </c>
      <c r="K131" s="2">
        <f>Table1[[#This Row],[Profit]]/Table1[[#This Row],[Sales]]</f>
        <v>0.20772129155481822</v>
      </c>
      <c r="L131" s="2" t="str">
        <f t="shared" si="13"/>
        <v>Medium Discount</v>
      </c>
      <c r="M131" s="2" t="str">
        <f t="shared" si="14"/>
        <v>High Profit</v>
      </c>
    </row>
    <row r="132" spans="1:13">
      <c r="A132" t="s">
        <v>120</v>
      </c>
      <c r="B132" t="str">
        <f t="shared" si="12"/>
        <v>Mar</v>
      </c>
      <c r="C132" t="s">
        <v>152</v>
      </c>
      <c r="D132" t="s">
        <v>156</v>
      </c>
      <c r="E132" t="s">
        <v>159</v>
      </c>
      <c r="F132" t="s">
        <v>162</v>
      </c>
      <c r="G132">
        <v>4557.18</v>
      </c>
      <c r="H132">
        <v>909.14</v>
      </c>
      <c r="I132" s="2">
        <v>0.1</v>
      </c>
      <c r="J132">
        <v>9</v>
      </c>
      <c r="K132" s="2">
        <f>Table1[[#This Row],[Profit]]/Table1[[#This Row],[Sales]]</f>
        <v>0.19949617965496205</v>
      </c>
      <c r="L132" s="2" t="str">
        <f t="shared" si="13"/>
        <v>Medium Discount</v>
      </c>
      <c r="M132" s="2" t="str">
        <f t="shared" si="14"/>
        <v>High Profit</v>
      </c>
    </row>
    <row r="133" spans="1:13">
      <c r="A133" t="s">
        <v>121</v>
      </c>
      <c r="B133" t="str">
        <f t="shared" si="12"/>
        <v>May</v>
      </c>
      <c r="C133" t="s">
        <v>153</v>
      </c>
      <c r="D133" t="s">
        <v>157</v>
      </c>
      <c r="E133" t="s">
        <v>160</v>
      </c>
      <c r="F133" t="s">
        <v>163</v>
      </c>
      <c r="G133">
        <v>2701.18</v>
      </c>
      <c r="H133">
        <v>583.71</v>
      </c>
      <c r="I133" s="2">
        <v>0.1</v>
      </c>
      <c r="J133">
        <v>6</v>
      </c>
      <c r="K133" s="2">
        <f>Table1[[#This Row],[Profit]]/Table1[[#This Row],[Sales]]</f>
        <v>0.21609444761178451</v>
      </c>
      <c r="L133" s="2" t="str">
        <f t="shared" si="13"/>
        <v>Medium Discount</v>
      </c>
      <c r="M133" s="2" t="str">
        <f t="shared" si="14"/>
        <v>High Profit</v>
      </c>
    </row>
    <row r="134" spans="1:13">
      <c r="A134" t="s">
        <v>92</v>
      </c>
      <c r="B134" t="str">
        <f t="shared" si="12"/>
        <v>Apr</v>
      </c>
      <c r="C134" t="s">
        <v>153</v>
      </c>
      <c r="D134" t="s">
        <v>155</v>
      </c>
      <c r="E134" t="s">
        <v>159</v>
      </c>
      <c r="F134" t="s">
        <v>162</v>
      </c>
      <c r="G134">
        <v>2394.8200000000002</v>
      </c>
      <c r="H134">
        <v>187.16</v>
      </c>
      <c r="I134" s="2">
        <v>0</v>
      </c>
      <c r="J134">
        <v>6</v>
      </c>
      <c r="K134" s="2">
        <f>Table1[[#This Row],[Profit]]/Table1[[#This Row],[Sales]]</f>
        <v>7.8152011424658219E-2</v>
      </c>
      <c r="L134" s="2" t="str">
        <f t="shared" si="13"/>
        <v>Low Discount</v>
      </c>
      <c r="M134" s="2" t="str">
        <f t="shared" si="14"/>
        <v>High Profit</v>
      </c>
    </row>
    <row r="135" spans="1:13">
      <c r="A135" t="s">
        <v>122</v>
      </c>
      <c r="B135" t="str">
        <f t="shared" si="12"/>
        <v>Mar</v>
      </c>
      <c r="C135" t="s">
        <v>153</v>
      </c>
      <c r="D135" t="s">
        <v>157</v>
      </c>
      <c r="E135" t="s">
        <v>159</v>
      </c>
      <c r="F135" t="s">
        <v>162</v>
      </c>
      <c r="G135">
        <v>3974.34</v>
      </c>
      <c r="H135">
        <v>408.93</v>
      </c>
      <c r="I135" s="2">
        <v>0</v>
      </c>
      <c r="J135">
        <v>5</v>
      </c>
      <c r="K135" s="2">
        <f>Table1[[#This Row],[Profit]]/Table1[[#This Row],[Sales]]</f>
        <v>0.10289255574510485</v>
      </c>
      <c r="L135" s="2" t="str">
        <f t="shared" si="13"/>
        <v>Low Discount</v>
      </c>
      <c r="M135" s="2" t="str">
        <f t="shared" si="14"/>
        <v>High Profit</v>
      </c>
    </row>
    <row r="136" spans="1:13">
      <c r="A136" t="s">
        <v>108</v>
      </c>
      <c r="B136" t="str">
        <f t="shared" si="12"/>
        <v>Apr</v>
      </c>
      <c r="C136" t="s">
        <v>153</v>
      </c>
      <c r="D136" t="s">
        <v>156</v>
      </c>
      <c r="E136" t="s">
        <v>158</v>
      </c>
      <c r="F136" t="s">
        <v>165</v>
      </c>
      <c r="G136">
        <v>1967.02</v>
      </c>
      <c r="H136">
        <v>140.97</v>
      </c>
      <c r="I136" s="2">
        <v>0.1</v>
      </c>
      <c r="J136">
        <v>10</v>
      </c>
      <c r="K136" s="2">
        <f>Table1[[#This Row],[Profit]]/Table1[[#This Row],[Sales]]</f>
        <v>7.166678528942258E-2</v>
      </c>
      <c r="L136" s="2" t="str">
        <f t="shared" si="13"/>
        <v>Medium Discount</v>
      </c>
      <c r="M136" s="2" t="str">
        <f t="shared" si="14"/>
        <v>High Profit</v>
      </c>
    </row>
    <row r="137" spans="1:13">
      <c r="A137" t="s">
        <v>123</v>
      </c>
      <c r="B137" t="str">
        <f t="shared" si="12"/>
        <v>Aug</v>
      </c>
      <c r="C137" t="s">
        <v>154</v>
      </c>
      <c r="D137" t="s">
        <v>155</v>
      </c>
      <c r="E137" t="s">
        <v>158</v>
      </c>
      <c r="F137" t="s">
        <v>165</v>
      </c>
      <c r="G137">
        <v>1707.23</v>
      </c>
      <c r="H137">
        <v>64.790000000000006</v>
      </c>
      <c r="I137" s="2">
        <v>0.2</v>
      </c>
      <c r="J137">
        <v>7</v>
      </c>
      <c r="K137" s="2">
        <f>Table1[[#This Row],[Profit]]/Table1[[#This Row],[Sales]]</f>
        <v>3.7950364039994612E-2</v>
      </c>
      <c r="L137" s="2" t="str">
        <f t="shared" si="13"/>
        <v>High Discount</v>
      </c>
      <c r="M137" s="2" t="str">
        <f t="shared" si="14"/>
        <v>Low Profit</v>
      </c>
    </row>
    <row r="138" spans="1:13">
      <c r="A138" t="s">
        <v>124</v>
      </c>
      <c r="B138" t="str">
        <f t="shared" si="12"/>
        <v>Sep</v>
      </c>
      <c r="C138" t="s">
        <v>151</v>
      </c>
      <c r="D138" t="s">
        <v>156</v>
      </c>
      <c r="E138" t="s">
        <v>159</v>
      </c>
      <c r="F138" t="s">
        <v>162</v>
      </c>
      <c r="G138">
        <v>784.91</v>
      </c>
      <c r="H138">
        <v>87.03</v>
      </c>
      <c r="I138" s="2">
        <v>0</v>
      </c>
      <c r="J138">
        <v>4</v>
      </c>
      <c r="K138" s="2">
        <f>Table1[[#This Row],[Profit]]/Table1[[#This Row],[Sales]]</f>
        <v>0.11087895427501243</v>
      </c>
      <c r="L138" s="2" t="str">
        <f t="shared" si="13"/>
        <v>Low Discount</v>
      </c>
      <c r="M138" s="2" t="str">
        <f t="shared" si="14"/>
        <v>Low Profit</v>
      </c>
    </row>
    <row r="139" spans="1:13">
      <c r="A139" t="s">
        <v>125</v>
      </c>
      <c r="B139" t="str">
        <f t="shared" si="12"/>
        <v>Dec</v>
      </c>
      <c r="C139" t="s">
        <v>153</v>
      </c>
      <c r="D139" t="s">
        <v>155</v>
      </c>
      <c r="E139" t="s">
        <v>158</v>
      </c>
      <c r="F139" t="s">
        <v>165</v>
      </c>
      <c r="G139">
        <v>764.75</v>
      </c>
      <c r="H139">
        <v>-15.86</v>
      </c>
      <c r="I139" s="2">
        <v>0.15</v>
      </c>
      <c r="J139">
        <v>3</v>
      </c>
      <c r="K139" s="2">
        <f>Table1[[#This Row],[Profit]]/Table1[[#This Row],[Sales]]</f>
        <v>-2.0738803530565543E-2</v>
      </c>
      <c r="L139" s="2" t="str">
        <f t="shared" si="13"/>
        <v>Medium Discount</v>
      </c>
      <c r="M139" s="2" t="str">
        <f t="shared" si="14"/>
        <v>Loss-Making</v>
      </c>
    </row>
    <row r="140" spans="1:13">
      <c r="A140" t="s">
        <v>126</v>
      </c>
      <c r="B140" t="str">
        <f t="shared" si="12"/>
        <v>May</v>
      </c>
      <c r="C140" t="s">
        <v>151</v>
      </c>
      <c r="D140" t="s">
        <v>155</v>
      </c>
      <c r="E140" t="s">
        <v>160</v>
      </c>
      <c r="F140" t="s">
        <v>164</v>
      </c>
      <c r="G140">
        <v>3309.12</v>
      </c>
      <c r="H140">
        <v>96.71</v>
      </c>
      <c r="I140" s="2">
        <v>0.15</v>
      </c>
      <c r="J140">
        <v>6</v>
      </c>
      <c r="K140" s="2">
        <f>Table1[[#This Row],[Profit]]/Table1[[#This Row],[Sales]]</f>
        <v>2.922529252490088E-2</v>
      </c>
      <c r="L140" s="2" t="str">
        <f t="shared" si="13"/>
        <v>Medium Discount</v>
      </c>
      <c r="M140" s="2" t="str">
        <f t="shared" si="14"/>
        <v>Low Profit</v>
      </c>
    </row>
    <row r="141" spans="1:13">
      <c r="A141" t="s">
        <v>127</v>
      </c>
      <c r="B141" t="str">
        <f t="shared" si="12"/>
        <v>Feb</v>
      </c>
      <c r="C141" t="s">
        <v>154</v>
      </c>
      <c r="D141" t="s">
        <v>155</v>
      </c>
      <c r="E141" t="s">
        <v>159</v>
      </c>
      <c r="F141" t="s">
        <v>166</v>
      </c>
      <c r="G141">
        <v>2272.58</v>
      </c>
      <c r="H141">
        <v>502.44</v>
      </c>
      <c r="I141" s="2">
        <v>0.05</v>
      </c>
      <c r="J141">
        <v>6</v>
      </c>
      <c r="K141" s="2">
        <f>Table1[[#This Row],[Profit]]/Table1[[#This Row],[Sales]]</f>
        <v>0.22108792649763706</v>
      </c>
      <c r="L141" s="2" t="str">
        <f t="shared" si="13"/>
        <v>Low Discount</v>
      </c>
      <c r="M141" s="2" t="str">
        <f t="shared" si="14"/>
        <v>High Profit</v>
      </c>
    </row>
    <row r="142" spans="1:13">
      <c r="A142" t="s">
        <v>101</v>
      </c>
      <c r="B142" t="str">
        <f t="shared" si="12"/>
        <v>Aug</v>
      </c>
      <c r="C142" t="s">
        <v>151</v>
      </c>
      <c r="D142" t="s">
        <v>155</v>
      </c>
      <c r="E142" t="s">
        <v>159</v>
      </c>
      <c r="F142" t="s">
        <v>162</v>
      </c>
      <c r="G142">
        <v>2050.88</v>
      </c>
      <c r="H142">
        <v>499.68</v>
      </c>
      <c r="I142" s="2">
        <v>0.05</v>
      </c>
      <c r="J142">
        <v>4</v>
      </c>
      <c r="K142" s="2">
        <f>Table1[[#This Row],[Profit]]/Table1[[#This Row],[Sales]]</f>
        <v>0.24364175378374162</v>
      </c>
      <c r="L142" s="2" t="str">
        <f t="shared" si="13"/>
        <v>Low Discount</v>
      </c>
      <c r="M142" s="2" t="str">
        <f t="shared" si="14"/>
        <v>High Profit</v>
      </c>
    </row>
    <row r="143" spans="1:13">
      <c r="A143" t="s">
        <v>128</v>
      </c>
      <c r="B143" t="str">
        <f t="shared" si="12"/>
        <v>Jun</v>
      </c>
      <c r="C143" t="s">
        <v>152</v>
      </c>
      <c r="D143" t="s">
        <v>156</v>
      </c>
      <c r="E143" t="s">
        <v>158</v>
      </c>
      <c r="F143" t="s">
        <v>161</v>
      </c>
      <c r="G143">
        <v>3233.52</v>
      </c>
      <c r="H143">
        <v>194.39</v>
      </c>
      <c r="I143" s="2">
        <v>0</v>
      </c>
      <c r="J143">
        <v>10</v>
      </c>
      <c r="K143" s="2">
        <f>Table1[[#This Row],[Profit]]/Table1[[#This Row],[Sales]]</f>
        <v>6.0117147875998908E-2</v>
      </c>
      <c r="L143" s="2" t="str">
        <f t="shared" si="13"/>
        <v>Low Discount</v>
      </c>
      <c r="M143" s="2" t="str">
        <f t="shared" si="14"/>
        <v>High Profit</v>
      </c>
    </row>
    <row r="144" spans="1:13">
      <c r="A144" t="s">
        <v>108</v>
      </c>
      <c r="B144" t="str">
        <f t="shared" si="12"/>
        <v>Apr</v>
      </c>
      <c r="C144" t="s">
        <v>154</v>
      </c>
      <c r="D144" t="s">
        <v>156</v>
      </c>
      <c r="E144" t="s">
        <v>159</v>
      </c>
      <c r="F144" t="s">
        <v>166</v>
      </c>
      <c r="G144">
        <v>436.19</v>
      </c>
      <c r="H144">
        <v>8.65</v>
      </c>
      <c r="I144" s="2">
        <v>0.2</v>
      </c>
      <c r="J144">
        <v>10</v>
      </c>
      <c r="K144" s="2">
        <f>Table1[[#This Row],[Profit]]/Table1[[#This Row],[Sales]]</f>
        <v>1.9830807675554233E-2</v>
      </c>
      <c r="L144" s="2" t="str">
        <f t="shared" si="13"/>
        <v>High Discount</v>
      </c>
      <c r="M144" s="2" t="str">
        <f t="shared" si="14"/>
        <v>Low Profit</v>
      </c>
    </row>
    <row r="145" spans="1:13">
      <c r="A145" t="s">
        <v>36</v>
      </c>
      <c r="B145" t="str">
        <f t="shared" si="12"/>
        <v>Oct</v>
      </c>
      <c r="C145" t="s">
        <v>154</v>
      </c>
      <c r="D145" t="s">
        <v>156</v>
      </c>
      <c r="E145" t="s">
        <v>159</v>
      </c>
      <c r="F145" t="s">
        <v>162</v>
      </c>
      <c r="G145">
        <v>1458.65</v>
      </c>
      <c r="H145">
        <v>361.02</v>
      </c>
      <c r="I145" s="2">
        <v>0.05</v>
      </c>
      <c r="J145">
        <v>2</v>
      </c>
      <c r="K145" s="2">
        <f>Table1[[#This Row],[Profit]]/Table1[[#This Row],[Sales]]</f>
        <v>0.24750282795735781</v>
      </c>
      <c r="L145" s="2" t="str">
        <f t="shared" si="13"/>
        <v>Low Discount</v>
      </c>
      <c r="M145" s="2" t="str">
        <f t="shared" si="14"/>
        <v>High Profit</v>
      </c>
    </row>
    <row r="146" spans="1:13">
      <c r="A146" t="s">
        <v>50</v>
      </c>
      <c r="B146" t="str">
        <f t="shared" si="12"/>
        <v>May</v>
      </c>
      <c r="C146" t="s">
        <v>154</v>
      </c>
      <c r="D146" t="s">
        <v>156</v>
      </c>
      <c r="E146" t="s">
        <v>158</v>
      </c>
      <c r="F146" t="s">
        <v>161</v>
      </c>
      <c r="G146">
        <v>4345.59</v>
      </c>
      <c r="H146">
        <v>230.19</v>
      </c>
      <c r="I146" s="2">
        <v>0.05</v>
      </c>
      <c r="J146">
        <v>3</v>
      </c>
      <c r="K146" s="2">
        <f>Table1[[#This Row],[Profit]]/Table1[[#This Row],[Sales]]</f>
        <v>5.2970942955962247E-2</v>
      </c>
      <c r="L146" s="2" t="str">
        <f t="shared" si="13"/>
        <v>Low Discount</v>
      </c>
      <c r="M146" s="2" t="str">
        <f t="shared" si="14"/>
        <v>High Profit</v>
      </c>
    </row>
    <row r="147" spans="1:13">
      <c r="A147" t="s">
        <v>129</v>
      </c>
      <c r="B147" t="str">
        <f t="shared" si="12"/>
        <v>Sep</v>
      </c>
      <c r="C147" t="s">
        <v>153</v>
      </c>
      <c r="D147" t="s">
        <v>157</v>
      </c>
      <c r="E147" t="s">
        <v>160</v>
      </c>
      <c r="F147" t="s">
        <v>163</v>
      </c>
      <c r="G147">
        <v>356.76</v>
      </c>
      <c r="H147">
        <v>10.93</v>
      </c>
      <c r="I147" s="2">
        <v>0.15</v>
      </c>
      <c r="J147">
        <v>9</v>
      </c>
      <c r="K147" s="2">
        <f>Table1[[#This Row],[Profit]]/Table1[[#This Row],[Sales]]</f>
        <v>3.0636842695369437E-2</v>
      </c>
      <c r="L147" s="2" t="str">
        <f t="shared" si="13"/>
        <v>Medium Discount</v>
      </c>
      <c r="M147" s="2" t="str">
        <f t="shared" si="14"/>
        <v>Low Profit</v>
      </c>
    </row>
    <row r="148" spans="1:13">
      <c r="A148" t="s">
        <v>53</v>
      </c>
      <c r="B148" t="str">
        <f t="shared" si="12"/>
        <v>Dec</v>
      </c>
      <c r="C148" t="s">
        <v>154</v>
      </c>
      <c r="D148" t="s">
        <v>157</v>
      </c>
      <c r="E148" t="s">
        <v>158</v>
      </c>
      <c r="F148" t="s">
        <v>165</v>
      </c>
      <c r="G148">
        <v>634.36</v>
      </c>
      <c r="H148">
        <v>-10.91</v>
      </c>
      <c r="I148" s="2">
        <v>0.2</v>
      </c>
      <c r="J148">
        <v>1</v>
      </c>
      <c r="K148" s="2">
        <f>Table1[[#This Row],[Profit]]/Table1[[#This Row],[Sales]]</f>
        <v>-1.7198436219181538E-2</v>
      </c>
      <c r="L148" s="2" t="str">
        <f t="shared" si="13"/>
        <v>High Discount</v>
      </c>
      <c r="M148" s="2" t="str">
        <f t="shared" si="14"/>
        <v>Loss-Making</v>
      </c>
    </row>
    <row r="149" spans="1:13">
      <c r="A149" t="s">
        <v>130</v>
      </c>
      <c r="B149" t="str">
        <f t="shared" si="12"/>
        <v>Dec</v>
      </c>
      <c r="C149" t="s">
        <v>153</v>
      </c>
      <c r="D149" t="s">
        <v>156</v>
      </c>
      <c r="E149" t="s">
        <v>159</v>
      </c>
      <c r="F149" t="s">
        <v>162</v>
      </c>
      <c r="G149">
        <v>4993.08</v>
      </c>
      <c r="H149">
        <v>371.78</v>
      </c>
      <c r="I149" s="2">
        <v>0.15</v>
      </c>
      <c r="J149">
        <v>2</v>
      </c>
      <c r="K149" s="2">
        <f>Table1[[#This Row],[Profit]]/Table1[[#This Row],[Sales]]</f>
        <v>7.4459051327036618E-2</v>
      </c>
      <c r="L149" s="2" t="str">
        <f t="shared" si="13"/>
        <v>Medium Discount</v>
      </c>
      <c r="M149" s="2" t="str">
        <f t="shared" si="14"/>
        <v>High Profit</v>
      </c>
    </row>
    <row r="150" spans="1:13">
      <c r="A150" t="s">
        <v>131</v>
      </c>
      <c r="B150" t="str">
        <f t="shared" si="12"/>
        <v>Nov</v>
      </c>
      <c r="C150" t="s">
        <v>154</v>
      </c>
      <c r="D150" t="s">
        <v>157</v>
      </c>
      <c r="E150" t="s">
        <v>160</v>
      </c>
      <c r="F150" t="s">
        <v>163</v>
      </c>
      <c r="G150">
        <v>3080.66</v>
      </c>
      <c r="H150">
        <v>231.78</v>
      </c>
      <c r="I150" s="2">
        <v>0</v>
      </c>
      <c r="J150">
        <v>10</v>
      </c>
      <c r="K150" s="2">
        <f>Table1[[#This Row],[Profit]]/Table1[[#This Row],[Sales]]</f>
        <v>7.5237124512279846E-2</v>
      </c>
      <c r="L150" s="2" t="str">
        <f t="shared" si="13"/>
        <v>Low Discount</v>
      </c>
      <c r="M150" s="2" t="str">
        <f t="shared" si="14"/>
        <v>High Profit</v>
      </c>
    </row>
    <row r="151" spans="1:13">
      <c r="A151" t="s">
        <v>132</v>
      </c>
      <c r="B151" t="str">
        <f t="shared" si="12"/>
        <v>Dec</v>
      </c>
      <c r="C151" t="s">
        <v>151</v>
      </c>
      <c r="D151" t="s">
        <v>155</v>
      </c>
      <c r="E151" t="s">
        <v>158</v>
      </c>
      <c r="F151" t="s">
        <v>165</v>
      </c>
      <c r="G151">
        <v>1545</v>
      </c>
      <c r="H151">
        <v>171.75</v>
      </c>
      <c r="I151" s="2">
        <v>0.2</v>
      </c>
      <c r="J151">
        <v>9</v>
      </c>
      <c r="K151" s="2">
        <f>Table1[[#This Row],[Profit]]/Table1[[#This Row],[Sales]]</f>
        <v>0.11116504854368932</v>
      </c>
      <c r="L151" s="2" t="str">
        <f t="shared" si="13"/>
        <v>High Discount</v>
      </c>
      <c r="M151" s="2" t="str">
        <f t="shared" si="14"/>
        <v>High Profit</v>
      </c>
    </row>
    <row r="152" spans="1:13">
      <c r="A152" t="s">
        <v>35</v>
      </c>
      <c r="B152" t="str">
        <f t="shared" si="12"/>
        <v>Jun</v>
      </c>
      <c r="C152" t="s">
        <v>153</v>
      </c>
      <c r="D152" t="s">
        <v>157</v>
      </c>
      <c r="E152" t="s">
        <v>158</v>
      </c>
      <c r="F152" t="s">
        <v>161</v>
      </c>
      <c r="G152">
        <v>4340.91</v>
      </c>
      <c r="H152">
        <v>292.83999999999997</v>
      </c>
      <c r="I152" s="2">
        <v>0.15</v>
      </c>
      <c r="J152">
        <v>7</v>
      </c>
      <c r="K152" s="2">
        <f>Table1[[#This Row],[Profit]]/Table1[[#This Row],[Sales]]</f>
        <v>6.7460509432354043E-2</v>
      </c>
      <c r="L152" s="2" t="str">
        <f t="shared" si="13"/>
        <v>Medium Discount</v>
      </c>
      <c r="M152" s="2" t="str">
        <f t="shared" si="14"/>
        <v>High Profit</v>
      </c>
    </row>
    <row r="153" spans="1:13">
      <c r="A153" t="s">
        <v>68</v>
      </c>
      <c r="B153" t="str">
        <f t="shared" si="12"/>
        <v>Mar</v>
      </c>
      <c r="C153" t="s">
        <v>153</v>
      </c>
      <c r="D153" t="s">
        <v>156</v>
      </c>
      <c r="E153" t="s">
        <v>158</v>
      </c>
      <c r="F153" t="s">
        <v>161</v>
      </c>
      <c r="G153">
        <v>565.91999999999996</v>
      </c>
      <c r="H153">
        <v>20.95</v>
      </c>
      <c r="I153" s="2">
        <v>0.15</v>
      </c>
      <c r="J153">
        <v>2</v>
      </c>
      <c r="K153" s="2">
        <f>Table1[[#This Row],[Profit]]/Table1[[#This Row],[Sales]]</f>
        <v>3.7019366694939215E-2</v>
      </c>
      <c r="L153" s="2" t="str">
        <f t="shared" si="13"/>
        <v>Medium Discount</v>
      </c>
      <c r="M153" s="2" t="str">
        <f t="shared" si="14"/>
        <v>Low Profit</v>
      </c>
    </row>
    <row r="154" spans="1:13">
      <c r="A154" t="s">
        <v>133</v>
      </c>
      <c r="B154" t="str">
        <f t="shared" si="12"/>
        <v>Jul</v>
      </c>
      <c r="C154" t="s">
        <v>152</v>
      </c>
      <c r="D154" t="s">
        <v>155</v>
      </c>
      <c r="E154" t="s">
        <v>159</v>
      </c>
      <c r="F154" t="s">
        <v>162</v>
      </c>
      <c r="G154">
        <v>556.83000000000004</v>
      </c>
      <c r="H154">
        <v>110.76</v>
      </c>
      <c r="I154" s="2">
        <v>0</v>
      </c>
      <c r="J154">
        <v>1</v>
      </c>
      <c r="K154" s="2">
        <f>Table1[[#This Row],[Profit]]/Table1[[#This Row],[Sales]]</f>
        <v>0.19891169656807284</v>
      </c>
      <c r="L154" s="2" t="str">
        <f t="shared" si="13"/>
        <v>Low Discount</v>
      </c>
      <c r="M154" s="2" t="str">
        <f t="shared" si="14"/>
        <v>High Profit</v>
      </c>
    </row>
    <row r="155" spans="1:13">
      <c r="A155" t="s">
        <v>17</v>
      </c>
      <c r="B155" t="str">
        <f t="shared" si="12"/>
        <v>Jul</v>
      </c>
      <c r="C155" t="s">
        <v>153</v>
      </c>
      <c r="D155" t="s">
        <v>155</v>
      </c>
      <c r="E155" t="s">
        <v>158</v>
      </c>
      <c r="F155" t="s">
        <v>165</v>
      </c>
      <c r="G155">
        <v>4787.46</v>
      </c>
      <c r="H155">
        <v>257.12</v>
      </c>
      <c r="I155" s="2">
        <v>0.2</v>
      </c>
      <c r="J155">
        <v>1</v>
      </c>
      <c r="K155" s="2">
        <f>Table1[[#This Row],[Profit]]/Table1[[#This Row],[Sales]]</f>
        <v>5.3706976141837219E-2</v>
      </c>
      <c r="L155" s="2" t="str">
        <f t="shared" si="13"/>
        <v>High Discount</v>
      </c>
      <c r="M155" s="2" t="str">
        <f t="shared" si="14"/>
        <v>High Profit</v>
      </c>
    </row>
    <row r="156" spans="1:13">
      <c r="A156" t="s">
        <v>134</v>
      </c>
      <c r="B156" t="str">
        <f t="shared" si="12"/>
        <v>Sep</v>
      </c>
      <c r="C156" t="s">
        <v>152</v>
      </c>
      <c r="D156" t="s">
        <v>156</v>
      </c>
      <c r="E156" t="s">
        <v>160</v>
      </c>
      <c r="F156" t="s">
        <v>163</v>
      </c>
      <c r="G156">
        <v>3042.01</v>
      </c>
      <c r="H156">
        <v>215.13</v>
      </c>
      <c r="I156" s="2">
        <v>0.1</v>
      </c>
      <c r="J156">
        <v>8</v>
      </c>
      <c r="K156" s="2">
        <f>Table1[[#This Row],[Profit]]/Table1[[#This Row],[Sales]]</f>
        <v>7.0719688626927582E-2</v>
      </c>
      <c r="L156" s="2" t="str">
        <f t="shared" si="13"/>
        <v>Medium Discount</v>
      </c>
      <c r="M156" s="2" t="str">
        <f t="shared" si="14"/>
        <v>High Profit</v>
      </c>
    </row>
    <row r="157" spans="1:13">
      <c r="A157" t="s">
        <v>135</v>
      </c>
      <c r="B157" t="str">
        <f t="shared" si="12"/>
        <v>Jul</v>
      </c>
      <c r="C157" t="s">
        <v>151</v>
      </c>
      <c r="D157" t="s">
        <v>157</v>
      </c>
      <c r="E157" t="s">
        <v>159</v>
      </c>
      <c r="F157" t="s">
        <v>166</v>
      </c>
      <c r="G157">
        <v>4251.6499999999996</v>
      </c>
      <c r="H157">
        <v>931.43</v>
      </c>
      <c r="I157" s="2">
        <v>0.1</v>
      </c>
      <c r="J157">
        <v>10</v>
      </c>
      <c r="K157" s="2">
        <f>Table1[[#This Row],[Profit]]/Table1[[#This Row],[Sales]]</f>
        <v>0.21907494737337269</v>
      </c>
      <c r="L157" s="2" t="str">
        <f t="shared" si="13"/>
        <v>Medium Discount</v>
      </c>
      <c r="M157" s="2" t="str">
        <f t="shared" si="14"/>
        <v>High Profit</v>
      </c>
    </row>
    <row r="158" spans="1:13">
      <c r="A158" t="s">
        <v>136</v>
      </c>
      <c r="B158" t="str">
        <f t="shared" si="12"/>
        <v>Nov</v>
      </c>
      <c r="C158" t="s">
        <v>151</v>
      </c>
      <c r="D158" t="s">
        <v>155</v>
      </c>
      <c r="E158" t="s">
        <v>159</v>
      </c>
      <c r="F158" t="s">
        <v>166</v>
      </c>
      <c r="G158">
        <v>4055.38</v>
      </c>
      <c r="H158">
        <v>458.53</v>
      </c>
      <c r="I158" s="2">
        <v>0.2</v>
      </c>
      <c r="J158">
        <v>5</v>
      </c>
      <c r="K158" s="2">
        <f>Table1[[#This Row],[Profit]]/Table1[[#This Row],[Sales]]</f>
        <v>0.11306708619167623</v>
      </c>
      <c r="L158" s="2" t="str">
        <f t="shared" si="13"/>
        <v>High Discount</v>
      </c>
      <c r="M158" s="2" t="str">
        <f t="shared" si="14"/>
        <v>High Profit</v>
      </c>
    </row>
    <row r="159" spans="1:13">
      <c r="A159" t="s">
        <v>73</v>
      </c>
      <c r="B159" t="str">
        <f t="shared" si="12"/>
        <v>Jun</v>
      </c>
      <c r="C159" t="s">
        <v>151</v>
      </c>
      <c r="D159" t="s">
        <v>156</v>
      </c>
      <c r="E159" t="s">
        <v>159</v>
      </c>
      <c r="F159" t="s">
        <v>162</v>
      </c>
      <c r="G159">
        <v>984.04</v>
      </c>
      <c r="H159">
        <v>230.57</v>
      </c>
      <c r="I159" s="2">
        <v>0.1</v>
      </c>
      <c r="J159">
        <v>3</v>
      </c>
      <c r="K159" s="2">
        <f>Table1[[#This Row],[Profit]]/Table1[[#This Row],[Sales]]</f>
        <v>0.23430958091134507</v>
      </c>
      <c r="L159" s="2" t="str">
        <f t="shared" si="13"/>
        <v>Medium Discount</v>
      </c>
      <c r="M159" s="2" t="str">
        <f t="shared" si="14"/>
        <v>High Profit</v>
      </c>
    </row>
    <row r="160" spans="1:13">
      <c r="A160" t="s">
        <v>137</v>
      </c>
      <c r="B160" t="str">
        <f t="shared" si="12"/>
        <v>Nov</v>
      </c>
      <c r="C160" t="s">
        <v>151</v>
      </c>
      <c r="D160" t="s">
        <v>156</v>
      </c>
      <c r="E160" t="s">
        <v>158</v>
      </c>
      <c r="F160" t="s">
        <v>165</v>
      </c>
      <c r="G160">
        <v>3320.99</v>
      </c>
      <c r="H160">
        <v>260.27999999999997</v>
      </c>
      <c r="I160" s="2">
        <v>0</v>
      </c>
      <c r="J160">
        <v>9</v>
      </c>
      <c r="K160" s="2">
        <f>Table1[[#This Row],[Profit]]/Table1[[#This Row],[Sales]]</f>
        <v>7.8374219735681219E-2</v>
      </c>
      <c r="L160" s="2" t="str">
        <f t="shared" si="13"/>
        <v>Low Discount</v>
      </c>
      <c r="M160" s="2" t="str">
        <f t="shared" si="14"/>
        <v>High Profit</v>
      </c>
    </row>
    <row r="161" spans="1:13">
      <c r="A161" t="s">
        <v>80</v>
      </c>
      <c r="B161" t="str">
        <f t="shared" si="12"/>
        <v>Jun</v>
      </c>
      <c r="C161" t="s">
        <v>151</v>
      </c>
      <c r="D161" t="s">
        <v>156</v>
      </c>
      <c r="E161" t="s">
        <v>159</v>
      </c>
      <c r="F161" t="s">
        <v>166</v>
      </c>
      <c r="G161">
        <v>1943.35</v>
      </c>
      <c r="H161">
        <v>60.58</v>
      </c>
      <c r="I161" s="2">
        <v>0.15</v>
      </c>
      <c r="J161">
        <v>3</v>
      </c>
      <c r="K161" s="2">
        <f>Table1[[#This Row],[Profit]]/Table1[[#This Row],[Sales]]</f>
        <v>3.1172974502791571E-2</v>
      </c>
      <c r="L161" s="2" t="str">
        <f t="shared" si="13"/>
        <v>Medium Discount</v>
      </c>
      <c r="M161" s="2" t="str">
        <f t="shared" si="14"/>
        <v>Low Profit</v>
      </c>
    </row>
    <row r="162" spans="1:13">
      <c r="A162" t="s">
        <v>67</v>
      </c>
      <c r="B162" t="str">
        <f t="shared" ref="B162:B181" si="15">TEXT(A162,"mmm")</f>
        <v>May</v>
      </c>
      <c r="C162" t="s">
        <v>153</v>
      </c>
      <c r="D162" t="s">
        <v>155</v>
      </c>
      <c r="E162" t="s">
        <v>159</v>
      </c>
      <c r="F162" t="s">
        <v>166</v>
      </c>
      <c r="G162">
        <v>3796.74</v>
      </c>
      <c r="H162">
        <v>701.61</v>
      </c>
      <c r="I162" s="2">
        <v>0</v>
      </c>
      <c r="J162">
        <v>7</v>
      </c>
      <c r="K162" s="2">
        <f>Table1[[#This Row],[Profit]]/Table1[[#This Row],[Sales]]</f>
        <v>0.18479274324815501</v>
      </c>
      <c r="L162" s="2" t="str">
        <f t="shared" ref="L162:L181" si="16">IF(I162&lt;=0.05,"Low Discount",
IF(I162&lt;=0.15,"Medium Discount",
"High Discount"))</f>
        <v>Low Discount</v>
      </c>
      <c r="M162" s="2" t="str">
        <f t="shared" ref="M162:M181" si="17">IF(H162&lt;0,"Loss-Making",
IF(H162&lt;100,"Low Profit",
"High Profit"))</f>
        <v>High Profit</v>
      </c>
    </row>
    <row r="163" spans="1:13">
      <c r="A163" t="s">
        <v>105</v>
      </c>
      <c r="B163" t="str">
        <f t="shared" si="15"/>
        <v>Feb</v>
      </c>
      <c r="C163" t="s">
        <v>154</v>
      </c>
      <c r="D163" t="s">
        <v>157</v>
      </c>
      <c r="E163" t="s">
        <v>160</v>
      </c>
      <c r="F163" t="s">
        <v>164</v>
      </c>
      <c r="G163">
        <v>3074.67</v>
      </c>
      <c r="H163">
        <v>-64.14</v>
      </c>
      <c r="I163" s="2">
        <v>0.15</v>
      </c>
      <c r="J163">
        <v>2</v>
      </c>
      <c r="K163" s="2">
        <f>Table1[[#This Row],[Profit]]/Table1[[#This Row],[Sales]]</f>
        <v>-2.0860775302715413E-2</v>
      </c>
      <c r="L163" s="2" t="str">
        <f t="shared" si="16"/>
        <v>Medium Discount</v>
      </c>
      <c r="M163" s="2" t="str">
        <f t="shared" si="17"/>
        <v>Loss-Making</v>
      </c>
    </row>
    <row r="164" spans="1:13">
      <c r="A164" t="s">
        <v>138</v>
      </c>
      <c r="B164" t="str">
        <f t="shared" si="15"/>
        <v>Jan</v>
      </c>
      <c r="C164" t="s">
        <v>152</v>
      </c>
      <c r="D164" t="s">
        <v>157</v>
      </c>
      <c r="E164" t="s">
        <v>160</v>
      </c>
      <c r="F164" t="s">
        <v>163</v>
      </c>
      <c r="G164">
        <v>3423.27</v>
      </c>
      <c r="H164">
        <v>104.8</v>
      </c>
      <c r="I164" s="2">
        <v>0.2</v>
      </c>
      <c r="J164">
        <v>10</v>
      </c>
      <c r="K164" s="2">
        <f>Table1[[#This Row],[Profit]]/Table1[[#This Row],[Sales]]</f>
        <v>3.0614003569686292E-2</v>
      </c>
      <c r="L164" s="2" t="str">
        <f t="shared" si="16"/>
        <v>High Discount</v>
      </c>
      <c r="M164" s="2" t="str">
        <f t="shared" si="17"/>
        <v>High Profit</v>
      </c>
    </row>
    <row r="165" spans="1:13">
      <c r="A165" t="s">
        <v>22</v>
      </c>
      <c r="B165" t="str">
        <f t="shared" si="15"/>
        <v>Mar</v>
      </c>
      <c r="C165" t="s">
        <v>154</v>
      </c>
      <c r="D165" t="s">
        <v>157</v>
      </c>
      <c r="E165" t="s">
        <v>159</v>
      </c>
      <c r="F165" t="s">
        <v>162</v>
      </c>
      <c r="G165">
        <v>137.66999999999999</v>
      </c>
      <c r="H165">
        <v>32.909999999999997</v>
      </c>
      <c r="I165" s="2">
        <v>0.1</v>
      </c>
      <c r="J165">
        <v>6</v>
      </c>
      <c r="K165" s="2">
        <f>Table1[[#This Row],[Profit]]/Table1[[#This Row],[Sales]]</f>
        <v>0.23904990193942036</v>
      </c>
      <c r="L165" s="2" t="str">
        <f t="shared" si="16"/>
        <v>Medium Discount</v>
      </c>
      <c r="M165" s="2" t="str">
        <f t="shared" si="17"/>
        <v>Low Profit</v>
      </c>
    </row>
    <row r="166" spans="1:13">
      <c r="A166" t="s">
        <v>139</v>
      </c>
      <c r="B166" t="str">
        <f t="shared" si="15"/>
        <v>Dec</v>
      </c>
      <c r="C166" t="s">
        <v>152</v>
      </c>
      <c r="D166" t="s">
        <v>155</v>
      </c>
      <c r="E166" t="s">
        <v>159</v>
      </c>
      <c r="F166" t="s">
        <v>162</v>
      </c>
      <c r="G166">
        <v>137.88</v>
      </c>
      <c r="H166">
        <v>-0.4</v>
      </c>
      <c r="I166" s="2">
        <v>0.15</v>
      </c>
      <c r="J166">
        <v>9</v>
      </c>
      <c r="K166" s="2">
        <f>Table1[[#This Row],[Profit]]/Table1[[#This Row],[Sales]]</f>
        <v>-2.9010733971569485E-3</v>
      </c>
      <c r="L166" s="2" t="str">
        <f t="shared" si="16"/>
        <v>Medium Discount</v>
      </c>
      <c r="M166" s="2" t="str">
        <f t="shared" si="17"/>
        <v>Loss-Making</v>
      </c>
    </row>
    <row r="167" spans="1:13">
      <c r="A167" t="s">
        <v>140</v>
      </c>
      <c r="B167" t="str">
        <f t="shared" si="15"/>
        <v>Jan</v>
      </c>
      <c r="C167" t="s">
        <v>153</v>
      </c>
      <c r="D167" t="s">
        <v>156</v>
      </c>
      <c r="E167" t="s">
        <v>158</v>
      </c>
      <c r="F167" t="s">
        <v>161</v>
      </c>
      <c r="G167">
        <v>4050.38</v>
      </c>
      <c r="H167">
        <v>524.17999999999995</v>
      </c>
      <c r="I167" s="2">
        <v>0</v>
      </c>
      <c r="J167">
        <v>8</v>
      </c>
      <c r="K167" s="2">
        <f>Table1[[#This Row],[Profit]]/Table1[[#This Row],[Sales]]</f>
        <v>0.12941501785017701</v>
      </c>
      <c r="L167" s="2" t="str">
        <f t="shared" si="16"/>
        <v>Low Discount</v>
      </c>
      <c r="M167" s="2" t="str">
        <f t="shared" si="17"/>
        <v>High Profit</v>
      </c>
    </row>
    <row r="168" spans="1:13">
      <c r="A168" t="s">
        <v>141</v>
      </c>
      <c r="B168" t="str">
        <f t="shared" si="15"/>
        <v>Nov</v>
      </c>
      <c r="C168" t="s">
        <v>153</v>
      </c>
      <c r="D168" t="s">
        <v>157</v>
      </c>
      <c r="E168" t="s">
        <v>159</v>
      </c>
      <c r="F168" t="s">
        <v>162</v>
      </c>
      <c r="G168">
        <v>4324.34</v>
      </c>
      <c r="H168">
        <v>196.39</v>
      </c>
      <c r="I168" s="2">
        <v>0.2</v>
      </c>
      <c r="J168">
        <v>2</v>
      </c>
      <c r="K168" s="2">
        <f>Table1[[#This Row],[Profit]]/Table1[[#This Row],[Sales]]</f>
        <v>4.5415022870542089E-2</v>
      </c>
      <c r="L168" s="2" t="str">
        <f t="shared" si="16"/>
        <v>High Discount</v>
      </c>
      <c r="M168" s="2" t="str">
        <f t="shared" si="17"/>
        <v>High Profit</v>
      </c>
    </row>
    <row r="169" spans="1:13">
      <c r="A169" t="s">
        <v>15</v>
      </c>
      <c r="B169" t="str">
        <f t="shared" si="15"/>
        <v>Nov</v>
      </c>
      <c r="C169" t="s">
        <v>153</v>
      </c>
      <c r="D169" t="s">
        <v>155</v>
      </c>
      <c r="E169" t="s">
        <v>160</v>
      </c>
      <c r="F169" t="s">
        <v>164</v>
      </c>
      <c r="G169">
        <v>202.2</v>
      </c>
      <c r="H169">
        <v>17.059999999999999</v>
      </c>
      <c r="I169" s="2">
        <v>0.1</v>
      </c>
      <c r="J169">
        <v>6</v>
      </c>
      <c r="K169" s="2">
        <f>Table1[[#This Row],[Profit]]/Table1[[#This Row],[Sales]]</f>
        <v>8.437190900098912E-2</v>
      </c>
      <c r="L169" s="2" t="str">
        <f t="shared" si="16"/>
        <v>Medium Discount</v>
      </c>
      <c r="M169" s="2" t="str">
        <f t="shared" si="17"/>
        <v>Low Profit</v>
      </c>
    </row>
    <row r="170" spans="1:13">
      <c r="A170" t="s">
        <v>142</v>
      </c>
      <c r="B170" t="str">
        <f t="shared" si="15"/>
        <v>Oct</v>
      </c>
      <c r="C170" t="s">
        <v>153</v>
      </c>
      <c r="D170" t="s">
        <v>155</v>
      </c>
      <c r="E170" t="s">
        <v>159</v>
      </c>
      <c r="F170" t="s">
        <v>162</v>
      </c>
      <c r="G170">
        <v>2239.89</v>
      </c>
      <c r="H170">
        <v>220.99</v>
      </c>
      <c r="I170" s="2">
        <v>0</v>
      </c>
      <c r="J170">
        <v>2</v>
      </c>
      <c r="K170" s="2">
        <f>Table1[[#This Row],[Profit]]/Table1[[#This Row],[Sales]]</f>
        <v>9.8661094964484872E-2</v>
      </c>
      <c r="L170" s="2" t="str">
        <f t="shared" si="16"/>
        <v>Low Discount</v>
      </c>
      <c r="M170" s="2" t="str">
        <f t="shared" si="17"/>
        <v>High Profit</v>
      </c>
    </row>
    <row r="171" spans="1:13">
      <c r="A171" t="s">
        <v>62</v>
      </c>
      <c r="B171" t="str">
        <f t="shared" si="15"/>
        <v>Mar</v>
      </c>
      <c r="C171" t="s">
        <v>151</v>
      </c>
      <c r="D171" t="s">
        <v>155</v>
      </c>
      <c r="E171" t="s">
        <v>160</v>
      </c>
      <c r="F171" t="s">
        <v>164</v>
      </c>
      <c r="G171">
        <v>4365.57</v>
      </c>
      <c r="H171">
        <v>411.74</v>
      </c>
      <c r="I171" s="2">
        <v>0.1</v>
      </c>
      <c r="J171">
        <v>2</v>
      </c>
      <c r="K171" s="2">
        <f>Table1[[#This Row],[Profit]]/Table1[[#This Row],[Sales]]</f>
        <v>9.4315289870509467E-2</v>
      </c>
      <c r="L171" s="2" t="str">
        <f t="shared" si="16"/>
        <v>Medium Discount</v>
      </c>
      <c r="M171" s="2" t="str">
        <f t="shared" si="17"/>
        <v>High Profit</v>
      </c>
    </row>
    <row r="172" spans="1:13">
      <c r="A172" t="s">
        <v>143</v>
      </c>
      <c r="B172" t="str">
        <f t="shared" si="15"/>
        <v>Nov</v>
      </c>
      <c r="C172" t="s">
        <v>152</v>
      </c>
      <c r="D172" t="s">
        <v>156</v>
      </c>
      <c r="E172" t="s">
        <v>158</v>
      </c>
      <c r="F172" t="s">
        <v>165</v>
      </c>
      <c r="G172">
        <v>2598.77</v>
      </c>
      <c r="H172">
        <v>312.42</v>
      </c>
      <c r="I172" s="2">
        <v>0.1</v>
      </c>
      <c r="J172">
        <v>2</v>
      </c>
      <c r="K172" s="2">
        <f>Table1[[#This Row],[Profit]]/Table1[[#This Row],[Sales]]</f>
        <v>0.12021841101751983</v>
      </c>
      <c r="L172" s="2" t="str">
        <f t="shared" si="16"/>
        <v>Medium Discount</v>
      </c>
      <c r="M172" s="2" t="str">
        <f t="shared" si="17"/>
        <v>High Profit</v>
      </c>
    </row>
    <row r="173" spans="1:13">
      <c r="A173" t="s">
        <v>64</v>
      </c>
      <c r="B173" t="str">
        <f t="shared" si="15"/>
        <v>Dec</v>
      </c>
      <c r="C173" t="s">
        <v>151</v>
      </c>
      <c r="D173" t="s">
        <v>156</v>
      </c>
      <c r="E173" t="s">
        <v>159</v>
      </c>
      <c r="F173" t="s">
        <v>166</v>
      </c>
      <c r="G173">
        <v>1354.24</v>
      </c>
      <c r="H173">
        <v>230.87</v>
      </c>
      <c r="I173" s="2">
        <v>0.05</v>
      </c>
      <c r="J173">
        <v>8</v>
      </c>
      <c r="K173" s="2">
        <f>Table1[[#This Row],[Profit]]/Table1[[#This Row],[Sales]]</f>
        <v>0.17047938327032136</v>
      </c>
      <c r="L173" s="2" t="str">
        <f t="shared" si="16"/>
        <v>Low Discount</v>
      </c>
      <c r="M173" s="2" t="str">
        <f t="shared" si="17"/>
        <v>High Profit</v>
      </c>
    </row>
    <row r="174" spans="1:13">
      <c r="A174" t="s">
        <v>144</v>
      </c>
      <c r="B174" t="str">
        <f t="shared" si="15"/>
        <v>Oct</v>
      </c>
      <c r="C174" t="s">
        <v>154</v>
      </c>
      <c r="D174" t="s">
        <v>155</v>
      </c>
      <c r="E174" t="s">
        <v>160</v>
      </c>
      <c r="F174" t="s">
        <v>164</v>
      </c>
      <c r="G174">
        <v>3796.78</v>
      </c>
      <c r="H174">
        <v>-10</v>
      </c>
      <c r="I174" s="2">
        <v>0.2</v>
      </c>
      <c r="J174">
        <v>6</v>
      </c>
      <c r="K174" s="2">
        <f>Table1[[#This Row],[Profit]]/Table1[[#This Row],[Sales]]</f>
        <v>-2.6338107554296007E-3</v>
      </c>
      <c r="L174" s="2" t="str">
        <f t="shared" si="16"/>
        <v>High Discount</v>
      </c>
      <c r="M174" s="2" t="str">
        <f t="shared" si="17"/>
        <v>Loss-Making</v>
      </c>
    </row>
    <row r="175" spans="1:13">
      <c r="A175" t="s">
        <v>145</v>
      </c>
      <c r="B175" t="str">
        <f t="shared" si="15"/>
        <v>May</v>
      </c>
      <c r="C175" t="s">
        <v>151</v>
      </c>
      <c r="D175" t="s">
        <v>157</v>
      </c>
      <c r="E175" t="s">
        <v>159</v>
      </c>
      <c r="F175" t="s">
        <v>166</v>
      </c>
      <c r="G175">
        <v>2254.84</v>
      </c>
      <c r="H175">
        <v>131.13999999999999</v>
      </c>
      <c r="I175" s="2">
        <v>0.15</v>
      </c>
      <c r="J175">
        <v>9</v>
      </c>
      <c r="K175" s="2">
        <f>Table1[[#This Row],[Profit]]/Table1[[#This Row],[Sales]]</f>
        <v>5.815933724787567E-2</v>
      </c>
      <c r="L175" s="2" t="str">
        <f t="shared" si="16"/>
        <v>Medium Discount</v>
      </c>
      <c r="M175" s="2" t="str">
        <f t="shared" si="17"/>
        <v>High Profit</v>
      </c>
    </row>
    <row r="176" spans="1:13">
      <c r="A176" t="s">
        <v>146</v>
      </c>
      <c r="B176" t="str">
        <f t="shared" si="15"/>
        <v>May</v>
      </c>
      <c r="C176" t="s">
        <v>151</v>
      </c>
      <c r="D176" t="s">
        <v>155</v>
      </c>
      <c r="E176" t="s">
        <v>159</v>
      </c>
      <c r="F176" t="s">
        <v>162</v>
      </c>
      <c r="G176">
        <v>1621</v>
      </c>
      <c r="H176">
        <v>-47.58</v>
      </c>
      <c r="I176" s="2">
        <v>0.15</v>
      </c>
      <c r="J176">
        <v>2</v>
      </c>
      <c r="K176" s="2">
        <f>Table1[[#This Row],[Profit]]/Table1[[#This Row],[Sales]]</f>
        <v>-2.9352251696483651E-2</v>
      </c>
      <c r="L176" s="2" t="str">
        <f t="shared" si="16"/>
        <v>Medium Discount</v>
      </c>
      <c r="M176" s="2" t="str">
        <f t="shared" si="17"/>
        <v>Loss-Making</v>
      </c>
    </row>
    <row r="177" spans="1:13">
      <c r="A177" t="s">
        <v>140</v>
      </c>
      <c r="B177" t="str">
        <f t="shared" si="15"/>
        <v>Jan</v>
      </c>
      <c r="C177" t="s">
        <v>153</v>
      </c>
      <c r="D177" t="s">
        <v>155</v>
      </c>
      <c r="E177" t="s">
        <v>158</v>
      </c>
      <c r="F177" t="s">
        <v>165</v>
      </c>
      <c r="G177">
        <v>3010.99</v>
      </c>
      <c r="H177">
        <v>111.74</v>
      </c>
      <c r="I177" s="2">
        <v>0.15</v>
      </c>
      <c r="J177">
        <v>4</v>
      </c>
      <c r="K177" s="2">
        <f>Table1[[#This Row],[Profit]]/Table1[[#This Row],[Sales]]</f>
        <v>3.7110717737355491E-2</v>
      </c>
      <c r="L177" s="2" t="str">
        <f t="shared" si="16"/>
        <v>Medium Discount</v>
      </c>
      <c r="M177" s="2" t="str">
        <f t="shared" si="17"/>
        <v>High Profit</v>
      </c>
    </row>
    <row r="178" spans="1:13">
      <c r="A178" t="s">
        <v>147</v>
      </c>
      <c r="B178" t="str">
        <f t="shared" si="15"/>
        <v>Feb</v>
      </c>
      <c r="C178" t="s">
        <v>154</v>
      </c>
      <c r="D178" t="s">
        <v>155</v>
      </c>
      <c r="E178" t="s">
        <v>160</v>
      </c>
      <c r="F178" t="s">
        <v>163</v>
      </c>
      <c r="G178">
        <v>3064.53</v>
      </c>
      <c r="H178">
        <v>73.5</v>
      </c>
      <c r="I178" s="2">
        <v>0.2</v>
      </c>
      <c r="J178">
        <v>2</v>
      </c>
      <c r="K178" s="2">
        <f>Table1[[#This Row],[Profit]]/Table1[[#This Row],[Sales]]</f>
        <v>2.3984101966696359E-2</v>
      </c>
      <c r="L178" s="2" t="str">
        <f t="shared" si="16"/>
        <v>High Discount</v>
      </c>
      <c r="M178" s="2" t="str">
        <f t="shared" si="17"/>
        <v>Low Profit</v>
      </c>
    </row>
    <row r="179" spans="1:13">
      <c r="A179" t="s">
        <v>148</v>
      </c>
      <c r="B179" t="str">
        <f t="shared" si="15"/>
        <v>Aug</v>
      </c>
      <c r="C179" t="s">
        <v>153</v>
      </c>
      <c r="D179" t="s">
        <v>155</v>
      </c>
      <c r="E179" t="s">
        <v>158</v>
      </c>
      <c r="F179" t="s">
        <v>165</v>
      </c>
      <c r="G179">
        <v>3266.02</v>
      </c>
      <c r="H179">
        <v>325.13</v>
      </c>
      <c r="I179" s="2">
        <v>0</v>
      </c>
      <c r="J179">
        <v>9</v>
      </c>
      <c r="K179" s="2">
        <f>Table1[[#This Row],[Profit]]/Table1[[#This Row],[Sales]]</f>
        <v>9.9549298534607866E-2</v>
      </c>
      <c r="L179" s="2" t="str">
        <f t="shared" si="16"/>
        <v>Low Discount</v>
      </c>
      <c r="M179" s="2" t="str">
        <f t="shared" si="17"/>
        <v>High Profit</v>
      </c>
    </row>
    <row r="180" spans="1:13">
      <c r="A180" t="s">
        <v>149</v>
      </c>
      <c r="B180" t="str">
        <f t="shared" si="15"/>
        <v>Jul</v>
      </c>
      <c r="C180" t="s">
        <v>153</v>
      </c>
      <c r="D180" t="s">
        <v>157</v>
      </c>
      <c r="E180" t="s">
        <v>158</v>
      </c>
      <c r="F180" t="s">
        <v>165</v>
      </c>
      <c r="G180">
        <v>877.86</v>
      </c>
      <c r="H180">
        <v>205.06</v>
      </c>
      <c r="I180" s="2">
        <v>0.1</v>
      </c>
      <c r="J180">
        <v>10</v>
      </c>
      <c r="K180" s="2">
        <f>Table1[[#This Row],[Profit]]/Table1[[#This Row],[Sales]]</f>
        <v>0.23359077757273369</v>
      </c>
      <c r="L180" s="2" t="str">
        <f t="shared" si="16"/>
        <v>Medium Discount</v>
      </c>
      <c r="M180" s="2" t="str">
        <f t="shared" si="17"/>
        <v>High Profit</v>
      </c>
    </row>
    <row r="181" spans="1:13">
      <c r="A181" t="s">
        <v>150</v>
      </c>
      <c r="B181" t="str">
        <f t="shared" si="15"/>
        <v>Feb</v>
      </c>
      <c r="C181" t="s">
        <v>153</v>
      </c>
      <c r="D181" t="s">
        <v>157</v>
      </c>
      <c r="E181" t="s">
        <v>159</v>
      </c>
      <c r="F181" t="s">
        <v>162</v>
      </c>
      <c r="G181">
        <v>3967.21</v>
      </c>
      <c r="H181">
        <v>250.66</v>
      </c>
      <c r="I181" s="2">
        <v>0.1</v>
      </c>
      <c r="J181">
        <v>5</v>
      </c>
      <c r="K181" s="2">
        <f>Table1[[#This Row],[Profit]]/Table1[[#This Row],[Sales]]</f>
        <v>6.3182942168425668E-2</v>
      </c>
      <c r="L181" s="2" t="str">
        <f t="shared" si="16"/>
        <v>Medium Discount</v>
      </c>
      <c r="M181" s="2" t="str">
        <f t="shared" si="17"/>
        <v>High Profit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D5371-19B2-4151-962D-98E398396D27}">
  <dimension ref="B1:S23"/>
  <sheetViews>
    <sheetView workbookViewId="0">
      <selection activeCell="B2" sqref="B2:S23"/>
    </sheetView>
  </sheetViews>
  <sheetFormatPr defaultRowHeight="14.5"/>
  <cols>
    <col min="1" max="1" width="5.08984375" customWidth="1"/>
  </cols>
  <sheetData>
    <row r="1" spans="2:19" ht="15" thickBot="1"/>
    <row r="2" spans="2:19">
      <c r="B2" s="10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2"/>
    </row>
    <row r="3" spans="2:19">
      <c r="B3" s="13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14"/>
    </row>
    <row r="4" spans="2:19">
      <c r="B4" s="13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14"/>
    </row>
    <row r="5" spans="2:19">
      <c r="B5" s="13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14"/>
    </row>
    <row r="6" spans="2:19">
      <c r="B6" s="13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14"/>
    </row>
    <row r="7" spans="2:19">
      <c r="B7" s="13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14"/>
    </row>
    <row r="8" spans="2:19">
      <c r="B8" s="13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14"/>
    </row>
    <row r="9" spans="2:19">
      <c r="B9" s="13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14"/>
    </row>
    <row r="10" spans="2:19">
      <c r="B10" s="13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14"/>
    </row>
    <row r="11" spans="2:19">
      <c r="B11" s="13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14"/>
    </row>
    <row r="12" spans="2:19">
      <c r="B12" s="13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14"/>
    </row>
    <row r="13" spans="2:19">
      <c r="B13" s="13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14"/>
    </row>
    <row r="14" spans="2:19">
      <c r="B14" s="13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14"/>
    </row>
    <row r="15" spans="2:19">
      <c r="B15" s="13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14"/>
    </row>
    <row r="16" spans="2:19">
      <c r="B16" s="13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14"/>
    </row>
    <row r="17" spans="2:19">
      <c r="B17" s="13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14"/>
    </row>
    <row r="18" spans="2:19">
      <c r="B18" s="13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14"/>
    </row>
    <row r="19" spans="2:19">
      <c r="B19" s="13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14"/>
    </row>
    <row r="20" spans="2:19">
      <c r="B20" s="13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14"/>
    </row>
    <row r="21" spans="2:19">
      <c r="B21" s="13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14"/>
    </row>
    <row r="22" spans="2:19">
      <c r="B22" s="13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14"/>
    </row>
    <row r="23" spans="2:19" ht="15" thickBot="1">
      <c r="B23" s="15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7"/>
    </row>
  </sheetData>
  <mergeCells count="1">
    <mergeCell ref="B2:S23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43252-BBC1-480F-91AE-9ECFF0EE4990}">
  <dimension ref="B2:P20"/>
  <sheetViews>
    <sheetView tabSelected="1" topLeftCell="A2" zoomScale="110" zoomScaleNormal="110" workbookViewId="0">
      <selection activeCell="B2" sqref="B2:P20"/>
    </sheetView>
  </sheetViews>
  <sheetFormatPr defaultRowHeight="14.5"/>
  <sheetData>
    <row r="2" spans="2:16"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2:16"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2:16"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2:16"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2:16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</row>
    <row r="7" spans="2:16"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</row>
    <row r="8" spans="2:16"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</row>
    <row r="9" spans="2:16"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</row>
    <row r="10" spans="2:16"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</row>
    <row r="11" spans="2:16"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</row>
    <row r="12" spans="2:16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</row>
    <row r="13" spans="2:16"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</row>
    <row r="14" spans="2:16"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 spans="2:16"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</row>
    <row r="16" spans="2:16"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</row>
    <row r="17" spans="2:16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</row>
    <row r="18" spans="2:16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 spans="2:16"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</row>
    <row r="20" spans="2:16"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</row>
  </sheetData>
  <mergeCells count="1">
    <mergeCell ref="B2:P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KPI summary</vt:lpstr>
      <vt:lpstr>CATEGORY PROFITABILITY</vt:lpstr>
      <vt:lpstr>PRODUCT PROFITABILITY</vt:lpstr>
      <vt:lpstr>DISCOUNT IMPACT ANALYSIS</vt:lpstr>
      <vt:lpstr>Monthly Trend</vt:lpstr>
      <vt:lpstr>Sales Data</vt:lpstr>
      <vt:lpstr>Business questions</vt:lpstr>
      <vt:lpstr>EXECUTIVE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alluri dedeepya</dc:creator>
  <cp:lastModifiedBy>alluri dedeepya</cp:lastModifiedBy>
  <dcterms:created xsi:type="dcterms:W3CDTF">2026-05-29T04:51:18Z</dcterms:created>
  <dcterms:modified xsi:type="dcterms:W3CDTF">2026-05-29T10:35:22Z</dcterms:modified>
</cp:coreProperties>
</file>